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E 1111" sheetId="1" r:id="rId5"/>
    <sheet state="visible" name="COMMANDE 1312" sheetId="2" r:id="rId6"/>
    <sheet state="visible" name="COMMANDE 0301" sheetId="3" r:id="rId7"/>
    <sheet state="visible" name="COMMANDE 2001" sheetId="4" r:id="rId8"/>
    <sheet state="visible" name="Charges " sheetId="5" r:id="rId9"/>
    <sheet state="visible" name="FOND" sheetId="6" r:id="rId10"/>
  </sheets>
  <definedNames/>
  <calcPr/>
</workbook>
</file>

<file path=xl/sharedStrings.xml><?xml version="1.0" encoding="utf-8"?>
<sst xmlns="http://schemas.openxmlformats.org/spreadsheetml/2006/main" count="230" uniqueCount="114">
  <si>
    <t>Produit</t>
  </si>
  <si>
    <t>PA (Prix Achat)</t>
  </si>
  <si>
    <t>Prix*Qt</t>
  </si>
  <si>
    <t>PV (Prix Vente)</t>
  </si>
  <si>
    <t>prix promo</t>
  </si>
  <si>
    <t>Quantité</t>
  </si>
  <si>
    <t>Qt vendu</t>
  </si>
  <si>
    <t>Qt reste</t>
  </si>
  <si>
    <t>Total Vente DH</t>
  </si>
  <si>
    <t>Marge Unit</t>
  </si>
  <si>
    <t>Marge totale</t>
  </si>
  <si>
    <t>Coffret Rituals</t>
  </si>
  <si>
    <t>total charge OUAFFA:</t>
  </si>
  <si>
    <t>gain net</t>
  </si>
  <si>
    <t>SPA Exclusive</t>
  </si>
  <si>
    <t>HORS FRAIS DE PORT</t>
  </si>
  <si>
    <t>MAX &amp; MORE Gloss</t>
  </si>
  <si>
    <t>MAX &amp; MORE Set</t>
  </si>
  <si>
    <t>Coffret Parfum fenzi</t>
  </si>
  <si>
    <t>Coffret Skin Care</t>
  </si>
  <si>
    <t xml:space="preserve">Set Gel Douche </t>
  </si>
  <si>
    <t>Coffret Bodycare 7PS</t>
  </si>
  <si>
    <t>Coffret Parfume + Gl douche</t>
  </si>
  <si>
    <t>Coffret Cadeau serv</t>
  </si>
  <si>
    <t>total</t>
  </si>
  <si>
    <t>Total Vente</t>
  </si>
  <si>
    <t>SOL DE JINERIO Bum Bum</t>
  </si>
  <si>
    <t>VENTE EN PROMO</t>
  </si>
  <si>
    <t xml:space="preserve">SOL DE JINERIO Brazilian Crush </t>
  </si>
  <si>
    <t>SOL DE JINERIO Brazilian C /piece</t>
  </si>
  <si>
    <t xml:space="preserve">MODIFIER SI VENTE DETAIL </t>
  </si>
  <si>
    <t>VENTE P NORMAL</t>
  </si>
  <si>
    <t xml:space="preserve">Rituals xs rose </t>
  </si>
  <si>
    <t>Rituals xs rouge</t>
  </si>
  <si>
    <t>Coffret Bodycare  7p</t>
  </si>
  <si>
    <t>teddy trousse toilette</t>
  </si>
  <si>
    <t>Spa kit pieds</t>
  </si>
  <si>
    <t>Serume booster vit C 30 ml</t>
  </si>
  <si>
    <t>Serume retinol 30 ml</t>
  </si>
  <si>
    <t>Serume collagene 10 ml</t>
  </si>
  <si>
    <t>Serume collagene 10 m</t>
  </si>
  <si>
    <t>Hydratant priming EJ 50ml</t>
  </si>
  <si>
    <t xml:space="preserve">Hydratant priming pore EJ 50ml </t>
  </si>
  <si>
    <t>Serume niacinamide 30 ml</t>
  </si>
  <si>
    <t>Max more maquillage</t>
  </si>
  <si>
    <t>Biphase fixing</t>
  </si>
  <si>
    <t>sérum Acide hyalironique 10ml</t>
  </si>
  <si>
    <t>hammam lotion</t>
  </si>
  <si>
    <t>hammam sea salt gommage</t>
  </si>
  <si>
    <t xml:space="preserve">OFFRES: </t>
  </si>
  <si>
    <t xml:space="preserve">   +  </t>
  </si>
  <si>
    <t>120 DH au lieu 130</t>
  </si>
  <si>
    <t xml:space="preserve"> Serume niacinamide 30 ml</t>
  </si>
  <si>
    <t>120 au lieu 134 DH</t>
  </si>
  <si>
    <t>COFFRET :</t>
  </si>
  <si>
    <t>Hydratant priming EJ 50ml + Serume niacinamide 30 ml +sérum Acide hyalironique 10ml + Serume collagene 10 ml</t>
  </si>
  <si>
    <t xml:space="preserve">A 199 AU LIEU 232 DH </t>
  </si>
  <si>
    <t>OU BIEN 230 DH LIVRAISON GRATUIT</t>
  </si>
  <si>
    <t xml:space="preserve">Biphase fixing + Max more maquillage          </t>
  </si>
  <si>
    <t xml:space="preserve">129  AU LIEU 144 DH  </t>
  </si>
  <si>
    <t xml:space="preserve">PARFUN DUPE ALIEN </t>
  </si>
  <si>
    <t>PARFUN DUPE VALENTINO</t>
  </si>
  <si>
    <t>COFERET DUPE VALENTINO</t>
  </si>
  <si>
    <t>CREME YEES CHERRY</t>
  </si>
  <si>
    <t>CREME YES CHERRY</t>
  </si>
  <si>
    <t>OIL YES ALMONDE CHERRY</t>
  </si>
  <si>
    <t>Coffret Bodycare  7p ROSE</t>
  </si>
  <si>
    <t xml:space="preserve">2 ALIENS 3 EME OFFERT </t>
  </si>
  <si>
    <t xml:space="preserve"> OIL YES ALMONDE CHERRY</t>
  </si>
  <si>
    <t xml:space="preserve"> 155 AU LIEU 164</t>
  </si>
  <si>
    <t>2 PARFUMS ALIEN ACHETE (90DH) le 3 emes offet</t>
  </si>
  <si>
    <t>Charge</t>
  </si>
  <si>
    <t>prix unitée DH</t>
  </si>
  <si>
    <t>quantitée</t>
  </si>
  <si>
    <t>total dh</t>
  </si>
  <si>
    <t>nombre de produit</t>
  </si>
  <si>
    <t>total DH</t>
  </si>
  <si>
    <t>ADS</t>
  </si>
  <si>
    <t>Plastique</t>
  </si>
  <si>
    <t>EBALLAGE CARTON</t>
  </si>
  <si>
    <t>STIKERS</t>
  </si>
  <si>
    <t xml:space="preserve">TOTAL </t>
  </si>
  <si>
    <t>FRAIS</t>
  </si>
  <si>
    <t xml:space="preserve">PAR PIECE EN DH </t>
  </si>
  <si>
    <t xml:space="preserve">PLASTIQUE </t>
  </si>
  <si>
    <t>EMBALAGE CARTON</t>
  </si>
  <si>
    <t>TOTAT PAR UNITE</t>
  </si>
  <si>
    <t>DATE D'ENVOIS</t>
  </si>
  <si>
    <t>DATE D'ACHAT</t>
  </si>
  <si>
    <t>FACTURES</t>
  </si>
  <si>
    <t>MAGAZIN</t>
  </si>
  <si>
    <t>COUT EURO</t>
  </si>
  <si>
    <t>NB ARTICL</t>
  </si>
  <si>
    <t>TOT ARTICL</t>
  </si>
  <si>
    <t>FRAIS(PORT) EURO</t>
  </si>
  <si>
    <t>FRAI EMBALLAGE</t>
  </si>
  <si>
    <t>total EURO</t>
  </si>
  <si>
    <t>BULLES =</t>
  </si>
  <si>
    <t>FACTURE 1</t>
  </si>
  <si>
    <t>ACTION</t>
  </si>
  <si>
    <t>CARTON =</t>
  </si>
  <si>
    <t>FACTURE 2</t>
  </si>
  <si>
    <t>RITUALS</t>
  </si>
  <si>
    <t>FACTURE 3</t>
  </si>
  <si>
    <t>NOCIBE</t>
  </si>
  <si>
    <t>FACTURE 4</t>
  </si>
  <si>
    <t>FACTURE 5</t>
  </si>
  <si>
    <t>FACTURE 6</t>
  </si>
  <si>
    <t>FACTURE 7</t>
  </si>
  <si>
    <t>LIDL</t>
  </si>
  <si>
    <t>FACTURE 8</t>
  </si>
  <si>
    <t>FACTURE 9</t>
  </si>
  <si>
    <t>FACTURE 10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</si>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</sst>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dh]#,##0.00"/>
    <numFmt numFmtId="165" formatCode="d/m"/>
    <numFmt numFmtId="166" formatCode="dd/mm"/>
    <numFmt numFmtId="167" formatCode="#,##0.00\ [$€-1]"/>
    <numFmt numFmtId="168" formatCode="dd/MM/yyyy"/>
    <numFmt numFmtId="169" formatCode="dd/mm/yyyy"/>
    <numFmt numFmtId="170" formatCode="d/m/yyyy"/>
  </numFmts>
  <fonts count="22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0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  <font>
      <b/>
      <sz val="13.0"/>
      <color rgb="FFFF0000"/>
      <name val="Calibri"/>
      <scheme val="minor"/>
    </font>
    <font>
      <b/>
      <sz val="15.0"/>
      <color rgb="FF000000"/>
      <name val="Calibri"/>
      <scheme val="minor"/>
    </font>
    <font>
      <sz val="9.0"/>
      <color theme="1"/>
      <name val="Calibri"/>
      <scheme val="minor"/>
    </font>
    <font>
      <b/>
      <sz val="15.0"/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  <scheme val="minor"/>
    </font>
    <font>
      <color rgb="FFFFFFFF"/>
      <name val="Calibri"/>
      <scheme val="minor"/>
    </font>
    <font/>
    <font>
      <sz val="13.0"/>
      <color theme="1"/>
      <name val="Calibri"/>
      <scheme val="minor"/>
    </font>
    <font>
      <b/>
      <sz val="14.0"/>
      <color theme="1"/>
      <name val="Calibri"/>
      <scheme val="minor"/>
    </font>
    <font>
      <color rgb="FF00FF00"/>
      <name val="Calibri"/>
      <scheme val="minor"/>
    </font>
    <font>
      <b/>
      <sz val="16.0"/>
      <color rgb="FFFF0000"/>
      <name val="Calibri"/>
      <scheme val="minor"/>
    </font>
    <font>
      <sz val="12.0"/>
      <color theme="1"/>
      <name val="Calibri"/>
      <scheme val="minor"/>
    </font>
    <font>
      <b/>
      <sz val="12.0"/>
      <color rgb="FFFF0000"/>
      <name val="Calibri"/>
      <scheme val="minor"/>
    </font>
    <font>
      <color rgb="FFE69138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007F"/>
        <bgColor rgb="FFFF007F"/>
      </patternFill>
    </fill>
    <fill>
      <patternFill patternType="solid">
        <fgColor rgb="FF7F6000"/>
        <bgColor rgb="FF7F6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CC0000"/>
        <bgColor rgb="FFCC00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</fills>
  <borders count="7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2" fillId="4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2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Border="1" applyFont="1"/>
    <xf borderId="7" fillId="5" fontId="4" numFmtId="0" xfId="0" applyBorder="1" applyFill="1" applyFont="1"/>
    <xf borderId="7" fillId="6" fontId="4" numFmtId="0" xfId="0" applyBorder="1" applyFill="1" applyFont="1"/>
    <xf borderId="8" fillId="0" fontId="4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164" xfId="0" applyFont="1" applyNumberFormat="1"/>
    <xf borderId="9" fillId="4" fontId="3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7" fontId="4" numFmtId="0" xfId="0" applyBorder="1" applyFill="1" applyFont="1"/>
    <xf borderId="12" fillId="0" fontId="4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4" fillId="6" fontId="4" numFmtId="0" xfId="0" applyBorder="1" applyFont="1"/>
    <xf borderId="15" fillId="0" fontId="4" numFmtId="0" xfId="0" applyBorder="1" applyFont="1"/>
    <xf borderId="0" fillId="8" fontId="7" numFmtId="164" xfId="0" applyFill="1" applyFont="1" applyNumberFormat="1"/>
    <xf borderId="16" fillId="9" fontId="3" numFmtId="0" xfId="0" applyAlignment="1" applyBorder="1" applyFill="1" applyFont="1">
      <alignment readingOrder="0"/>
    </xf>
    <xf borderId="7" fillId="0" fontId="4" numFmtId="0" xfId="0" applyBorder="1" applyFont="1"/>
    <xf borderId="0" fillId="0" fontId="8" numFmtId="0" xfId="0" applyAlignment="1" applyFont="1">
      <alignment readingOrder="0"/>
    </xf>
    <xf borderId="17" fillId="9" fontId="3" numFmtId="0" xfId="0" applyAlignment="1" applyBorder="1" applyFont="1">
      <alignment readingOrder="0"/>
    </xf>
    <xf borderId="18" fillId="0" fontId="4" numFmtId="0" xfId="0" applyAlignment="1" applyBorder="1" applyFont="1">
      <alignment readingOrder="0"/>
    </xf>
    <xf borderId="19" fillId="7" fontId="4" numFmtId="0" xfId="0" applyAlignment="1" applyBorder="1" applyFont="1">
      <alignment readingOrder="0"/>
    </xf>
    <xf borderId="19" fillId="5" fontId="4" numFmtId="0" xfId="0" applyAlignment="1" applyBorder="1" applyFont="1">
      <alignment readingOrder="0"/>
    </xf>
    <xf borderId="19" fillId="0" fontId="4" numFmtId="0" xfId="0" applyAlignment="1" applyBorder="1" applyFont="1">
      <alignment readingOrder="0"/>
    </xf>
    <xf borderId="17" fillId="0" fontId="4" numFmtId="0" xfId="0" applyBorder="1" applyFont="1"/>
    <xf borderId="16" fillId="10" fontId="3" numFmtId="0" xfId="0" applyBorder="1" applyFill="1" applyFont="1"/>
    <xf borderId="3" fillId="0" fontId="4" numFmtId="0" xfId="0" applyAlignment="1" applyBorder="1" applyFont="1">
      <alignment readingOrder="0"/>
    </xf>
    <xf borderId="5" fillId="5" fontId="4" numFmtId="0" xfId="0" applyBorder="1" applyFont="1"/>
    <xf borderId="17" fillId="10" fontId="3" numFmtId="0" xfId="0" applyBorder="1" applyFont="1"/>
    <xf borderId="19" fillId="7" fontId="4" numFmtId="0" xfId="0" applyBorder="1" applyFont="1"/>
    <xf borderId="19" fillId="0" fontId="4" numFmtId="0" xfId="0" applyBorder="1" applyFont="1"/>
    <xf borderId="12" fillId="0" fontId="4" numFmtId="0" xfId="0" applyBorder="1" applyFont="1"/>
    <xf borderId="12" fillId="6" fontId="4" numFmtId="0" xfId="0" applyBorder="1" applyFont="1"/>
    <xf borderId="20" fillId="0" fontId="4" numFmtId="0" xfId="0" applyBorder="1" applyFont="1"/>
    <xf borderId="16" fillId="11" fontId="3" numFmtId="0" xfId="0" applyBorder="1" applyFill="1" applyFont="1"/>
    <xf borderId="5" fillId="6" fontId="4" numFmtId="0" xfId="0" applyBorder="1" applyFont="1"/>
    <xf borderId="21" fillId="0" fontId="4" numFmtId="0" xfId="0" applyBorder="1" applyFont="1"/>
    <xf borderId="10" fillId="0" fontId="4" numFmtId="0" xfId="0" applyAlignment="1" applyBorder="1" applyFont="1">
      <alignment readingOrder="0"/>
    </xf>
    <xf borderId="12" fillId="5" fontId="4" numFmtId="0" xfId="0" applyAlignment="1" applyBorder="1" applyFont="1">
      <alignment readingOrder="0"/>
    </xf>
    <xf borderId="22" fillId="12" fontId="3" numFmtId="0" xfId="0" applyAlignment="1" applyBorder="1" applyFill="1" applyFont="1">
      <alignment readingOrder="0"/>
    </xf>
    <xf borderId="2" fillId="0" fontId="4" numFmtId="0" xfId="0" applyBorder="1" applyFont="1"/>
    <xf borderId="22" fillId="13" fontId="3" numFmtId="0" xfId="0" applyBorder="1" applyFill="1" applyFont="1"/>
    <xf borderId="23" fillId="0" fontId="4" numFmtId="0" xfId="0" applyBorder="1" applyFont="1"/>
    <xf borderId="23" fillId="0" fontId="4" numFmtId="0" xfId="0" applyAlignment="1" applyBorder="1" applyFont="1">
      <alignment readingOrder="0"/>
    </xf>
    <xf borderId="24" fillId="0" fontId="4" numFmtId="0" xfId="0" applyBorder="1" applyFont="1"/>
    <xf borderId="1" fillId="7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25" fillId="0" fontId="4" numFmtId="0" xfId="0" applyBorder="1" applyFont="1"/>
    <xf borderId="25" fillId="6" fontId="4" numFmtId="0" xfId="0" applyBorder="1" applyFont="1"/>
    <xf borderId="26" fillId="0" fontId="4" numFmtId="0" xfId="0" applyBorder="1" applyFont="1"/>
    <xf borderId="22" fillId="10" fontId="3" numFmtId="0" xfId="0" applyAlignment="1" applyBorder="1" applyFont="1">
      <alignment readingOrder="0"/>
    </xf>
    <xf borderId="22" fillId="9" fontId="3" numFmtId="0" xfId="0" applyAlignment="1" applyBorder="1" applyFont="1">
      <alignment readingOrder="0"/>
    </xf>
    <xf borderId="1" fillId="7" fontId="4" numFmtId="0" xfId="0" applyBorder="1" applyFont="1"/>
    <xf borderId="22" fillId="14" fontId="3" numFmtId="0" xfId="0" applyAlignment="1" applyBorder="1" applyFill="1" applyFont="1">
      <alignment readingOrder="0"/>
    </xf>
    <xf borderId="22" fillId="15" fontId="3" numFmtId="0" xfId="0" applyAlignment="1" applyBorder="1" applyFill="1" applyFont="1">
      <alignment readingOrder="0"/>
    </xf>
    <xf borderId="27" fillId="0" fontId="9" numFmtId="0" xfId="0" applyAlignment="1" applyBorder="1" applyFont="1">
      <alignment readingOrder="0"/>
    </xf>
    <xf borderId="28" fillId="13" fontId="4" numFmtId="0" xfId="0" applyBorder="1" applyFont="1"/>
    <xf borderId="29" fillId="7" fontId="4" numFmtId="0" xfId="0" applyBorder="1" applyFont="1"/>
    <xf borderId="28" fillId="16" fontId="4" numFmtId="0" xfId="0" applyBorder="1" applyFill="1" applyFont="1"/>
    <xf borderId="28" fillId="6" fontId="4" numFmtId="0" xfId="0" applyBorder="1" applyFont="1"/>
    <xf borderId="28" fillId="7" fontId="10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readingOrder="0"/>
    </xf>
    <xf borderId="30" fillId="14" fontId="3" numFmtId="0" xfId="0" applyAlignment="1" applyBorder="1" applyFont="1">
      <alignment readingOrder="0"/>
    </xf>
    <xf borderId="3" fillId="17" fontId="4" numFmtId="0" xfId="0" applyAlignment="1" applyBorder="1" applyFill="1" applyFont="1">
      <alignment readingOrder="0"/>
    </xf>
    <xf borderId="4" fillId="17" fontId="4" numFmtId="0" xfId="0" applyAlignment="1" applyBorder="1" applyFont="1">
      <alignment readingOrder="0"/>
    </xf>
    <xf borderId="5" fillId="17" fontId="4" numFmtId="0" xfId="0" applyAlignment="1" applyBorder="1" applyFont="1">
      <alignment readingOrder="0"/>
    </xf>
    <xf borderId="5" fillId="2" fontId="10" numFmtId="0" xfId="0" applyAlignment="1" applyBorder="1" applyFont="1">
      <alignment horizontal="center" readingOrder="0"/>
    </xf>
    <xf borderId="5" fillId="17" fontId="3" numFmtId="0" xfId="0" applyAlignment="1" applyBorder="1" applyFont="1">
      <alignment readingOrder="0"/>
    </xf>
    <xf borderId="5" fillId="17" fontId="4" numFmtId="0" xfId="0" applyBorder="1" applyFont="1"/>
    <xf borderId="21" fillId="17" fontId="4" numFmtId="0" xfId="0" applyBorder="1" applyFont="1"/>
    <xf borderId="0" fillId="17" fontId="4" numFmtId="0" xfId="0" applyAlignment="1" applyFont="1">
      <alignment readingOrder="0"/>
    </xf>
    <xf borderId="0" fillId="17" fontId="4" numFmtId="0" xfId="0" applyFont="1"/>
    <xf borderId="24" fillId="5" fontId="4" numFmtId="0" xfId="0" applyAlignment="1" applyBorder="1" applyFont="1">
      <alignment readingOrder="0"/>
    </xf>
    <xf borderId="19" fillId="7" fontId="5" numFmtId="0" xfId="0" applyAlignment="1" applyBorder="1" applyFont="1">
      <alignment horizontal="center" readingOrder="0"/>
    </xf>
    <xf borderId="19" fillId="13" fontId="10" numFmtId="0" xfId="0" applyAlignment="1" applyBorder="1" applyFont="1">
      <alignment horizontal="center" readingOrder="0"/>
    </xf>
    <xf borderId="12" fillId="0" fontId="3" numFmtId="0" xfId="0" applyAlignment="1" applyBorder="1" applyFont="1">
      <alignment readingOrder="0"/>
    </xf>
    <xf borderId="19" fillId="6" fontId="4" numFmtId="0" xfId="0" applyBorder="1" applyFont="1"/>
    <xf borderId="31" fillId="18" fontId="3" numFmtId="0" xfId="0" applyAlignment="1" applyBorder="1" applyFill="1" applyFont="1">
      <alignment readingOrder="0"/>
    </xf>
    <xf borderId="5" fillId="17" fontId="5" numFmtId="0" xfId="0" applyAlignment="1" applyBorder="1" applyFont="1">
      <alignment horizontal="center" readingOrder="0"/>
    </xf>
    <xf borderId="0" fillId="5" fontId="4" numFmtId="0" xfId="0" applyFont="1"/>
    <xf borderId="30" fillId="18" fontId="3" numFmtId="0" xfId="0" applyAlignment="1" applyBorder="1" applyFont="1">
      <alignment readingOrder="0"/>
    </xf>
    <xf borderId="32" fillId="5" fontId="4" numFmtId="0" xfId="0" applyAlignment="1" applyBorder="1" applyFont="1">
      <alignment readingOrder="0"/>
    </xf>
    <xf borderId="1" fillId="7" fontId="5" numFmtId="0" xfId="0" applyAlignment="1" applyBorder="1" applyFont="1">
      <alignment horizontal="center" readingOrder="0"/>
    </xf>
    <xf borderId="1" fillId="13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8" fillId="0" fontId="4" numFmtId="0" xfId="0" applyBorder="1" applyFont="1"/>
    <xf borderId="27" fillId="6" fontId="4" numFmtId="0" xfId="0" applyBorder="1" applyFont="1"/>
    <xf borderId="33" fillId="0" fontId="4" numFmtId="0" xfId="0" applyBorder="1" applyFont="1"/>
    <xf borderId="34" fillId="18" fontId="3" numFmtId="0" xfId="0" applyAlignment="1" applyBorder="1" applyFont="1">
      <alignment readingOrder="0"/>
    </xf>
    <xf borderId="11" fillId="5" fontId="4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35" fillId="13" fontId="4" numFmtId="0" xfId="0" applyAlignment="1" applyBorder="1" applyFont="1">
      <alignment readingOrder="0"/>
    </xf>
    <xf borderId="4" fillId="5" fontId="4" numFmtId="0" xfId="0" applyAlignment="1" applyBorder="1" applyFont="1">
      <alignment readingOrder="0"/>
    </xf>
    <xf borderId="28" fillId="0" fontId="5" numFmtId="0" xfId="0" applyAlignment="1" applyBorder="1" applyFont="1">
      <alignment horizontal="center" readingOrder="0"/>
    </xf>
    <xf borderId="28" fillId="2" fontId="10" numFmtId="0" xfId="0" applyAlignment="1" applyBorder="1" applyFont="1">
      <alignment horizontal="center" readingOrder="0"/>
    </xf>
    <xf borderId="28" fillId="0" fontId="3" numFmtId="0" xfId="0" applyAlignment="1" applyBorder="1" applyFont="1">
      <alignment readingOrder="0"/>
    </xf>
    <xf borderId="28" fillId="0" fontId="4" numFmtId="0" xfId="0" applyAlignment="1" applyBorder="1" applyFont="1">
      <alignment readingOrder="0"/>
    </xf>
    <xf borderId="36" fillId="0" fontId="4" numFmtId="0" xfId="0" applyBorder="1" applyFont="1"/>
    <xf borderId="2" fillId="9" fontId="3" numFmtId="0" xfId="0" applyAlignment="1" applyBorder="1" applyFont="1">
      <alignment readingOrder="0"/>
    </xf>
    <xf borderId="32" fillId="13" fontId="4" numFmtId="0" xfId="0" applyAlignment="1" applyBorder="1" applyFont="1">
      <alignment readingOrder="0"/>
    </xf>
    <xf borderId="19" fillId="13" fontId="3" numFmtId="0" xfId="0" applyAlignment="1" applyBorder="1" applyFont="1">
      <alignment readingOrder="0"/>
    </xf>
    <xf borderId="19" fillId="13" fontId="4" numFmtId="0" xfId="0" applyAlignment="1" applyBorder="1" applyFont="1">
      <alignment readingOrder="0"/>
    </xf>
    <xf borderId="19" fillId="13" fontId="4" numFmtId="0" xfId="0" applyBorder="1" applyFont="1"/>
    <xf borderId="2" fillId="13" fontId="4" numFmtId="0" xfId="0" applyBorder="1" applyFont="1"/>
    <xf borderId="0" fillId="13" fontId="4" numFmtId="0" xfId="0" applyAlignment="1" applyFont="1">
      <alignment readingOrder="0"/>
    </xf>
    <xf borderId="0" fillId="13" fontId="4" numFmtId="0" xfId="0" applyFont="1"/>
    <xf borderId="31" fillId="10" fontId="3" numFmtId="0" xfId="0" applyAlignment="1" applyBorder="1" applyFont="1">
      <alignment readingOrder="0"/>
    </xf>
    <xf borderId="29" fillId="17" fontId="4" numFmtId="0" xfId="0" applyAlignment="1" applyBorder="1" applyFont="1">
      <alignment readingOrder="0"/>
    </xf>
    <xf borderId="28" fillId="17" fontId="5" numFmtId="0" xfId="0" applyAlignment="1" applyBorder="1" applyFont="1">
      <alignment horizontal="center"/>
    </xf>
    <xf borderId="28" fillId="17" fontId="3" numFmtId="0" xfId="0" applyAlignment="1" applyBorder="1" applyFont="1">
      <alignment readingOrder="0"/>
    </xf>
    <xf borderId="28" fillId="17" fontId="4" numFmtId="0" xfId="0" applyAlignment="1" applyBorder="1" applyFont="1">
      <alignment readingOrder="0"/>
    </xf>
    <xf borderId="37" fillId="17" fontId="4" numFmtId="0" xfId="0" applyBorder="1" applyFont="1"/>
    <xf borderId="36" fillId="17" fontId="4" numFmtId="0" xfId="0" applyBorder="1" applyFont="1"/>
    <xf borderId="38" fillId="10" fontId="3" numFmtId="0" xfId="0" applyAlignment="1" applyBorder="1" applyFont="1">
      <alignment readingOrder="0"/>
    </xf>
    <xf borderId="39" fillId="0" fontId="4" numFmtId="0" xfId="0" applyBorder="1" applyFont="1"/>
    <xf borderId="36" fillId="19" fontId="3" numFmtId="0" xfId="0" applyAlignment="1" applyBorder="1" applyFill="1" applyFont="1">
      <alignment readingOrder="0"/>
    </xf>
    <xf borderId="5" fillId="17" fontId="5" numFmtId="0" xfId="0" applyAlignment="1" applyBorder="1" applyFont="1">
      <alignment horizontal="center"/>
    </xf>
    <xf borderId="0" fillId="17" fontId="11" numFmtId="0" xfId="0" applyAlignment="1" applyFont="1">
      <alignment vertical="bottom"/>
    </xf>
    <xf borderId="12" fillId="7" fontId="5" numFmtId="0" xfId="0" applyAlignment="1" applyBorder="1" applyFont="1">
      <alignment horizontal="center" readingOrder="0"/>
    </xf>
    <xf borderId="31" fillId="20" fontId="3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5" fillId="0" fontId="5" numFmtId="0" xfId="0" applyAlignment="1" applyBorder="1" applyFont="1">
      <alignment horizontal="center"/>
    </xf>
    <xf borderId="5" fillId="0" fontId="3" numFmtId="0" xfId="0" applyAlignment="1" applyBorder="1" applyFont="1">
      <alignment readingOrder="0"/>
    </xf>
    <xf borderId="40" fillId="0" fontId="4" numFmtId="0" xfId="0" applyBorder="1" applyFont="1"/>
    <xf borderId="41" fillId="20" fontId="3" numFmtId="0" xfId="0" applyAlignment="1" applyBorder="1" applyFont="1">
      <alignment readingOrder="0"/>
    </xf>
    <xf borderId="11" fillId="13" fontId="4" numFmtId="0" xfId="0" applyBorder="1" applyFont="1"/>
    <xf borderId="42" fillId="13" fontId="4" numFmtId="0" xfId="0" applyBorder="1" applyFont="1"/>
    <xf borderId="11" fillId="13" fontId="4" numFmtId="0" xfId="0" applyAlignment="1" applyBorder="1" applyFont="1">
      <alignment readingOrder="0"/>
    </xf>
    <xf borderId="6" fillId="6" fontId="4" numFmtId="0" xfId="0" applyBorder="1" applyFont="1"/>
    <xf borderId="43" fillId="20" fontId="3" numFmtId="0" xfId="0" applyAlignment="1" applyBorder="1" applyFont="1">
      <alignment readingOrder="0"/>
    </xf>
    <xf borderId="17" fillId="6" fontId="4" numFmtId="0" xfId="0" applyBorder="1" applyFont="1"/>
    <xf borderId="44" fillId="21" fontId="3" numFmtId="0" xfId="0" applyAlignment="1" applyBorder="1" applyFill="1" applyFont="1">
      <alignment readingOrder="0"/>
    </xf>
    <xf borderId="29" fillId="13" fontId="4" numFmtId="0" xfId="0" applyAlignment="1" applyBorder="1" applyFont="1">
      <alignment readingOrder="0"/>
    </xf>
    <xf borderId="29" fillId="5" fontId="4" numFmtId="0" xfId="0" applyAlignment="1" applyBorder="1" applyFont="1">
      <alignment readingOrder="0"/>
    </xf>
    <xf borderId="25" fillId="5" fontId="5" numFmtId="0" xfId="0" applyAlignment="1" applyBorder="1" applyFont="1">
      <alignment horizontal="center" readingOrder="0"/>
    </xf>
    <xf borderId="25" fillId="13" fontId="3" numFmtId="0" xfId="0" applyAlignment="1" applyBorder="1" applyFont="1">
      <alignment readingOrder="0"/>
    </xf>
    <xf borderId="0" fillId="5" fontId="4" numFmtId="0" xfId="0" applyAlignment="1" applyFont="1">
      <alignment readingOrder="0"/>
    </xf>
    <xf borderId="25" fillId="7" fontId="5" numFmtId="0" xfId="0" applyAlignment="1" applyBorder="1" applyFont="1">
      <alignment horizontal="center" readingOrder="0"/>
    </xf>
    <xf borderId="25" fillId="13" fontId="10" numFmtId="0" xfId="0" applyAlignment="1" applyBorder="1" applyFont="1">
      <alignment horizontal="center" readingOrder="0"/>
    </xf>
    <xf borderId="31" fillId="13" fontId="3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/>
    </xf>
    <xf borderId="41" fillId="13" fontId="3" numFmtId="0" xfId="0" applyAlignment="1" applyBorder="1" applyFont="1">
      <alignment readingOrder="0"/>
    </xf>
    <xf borderId="27" fillId="0" fontId="4" numFmtId="0" xfId="0" applyBorder="1" applyFont="1"/>
    <xf borderId="25" fillId="13" fontId="4" numFmtId="0" xfId="0" applyAlignment="1" applyBorder="1" applyFont="1">
      <alignment readingOrder="0"/>
    </xf>
    <xf borderId="33" fillId="5" fontId="4" numFmtId="0" xfId="0" applyBorder="1" applyFont="1"/>
    <xf borderId="43" fillId="10" fontId="3" numFmtId="0" xfId="0" applyAlignment="1" applyBorder="1" applyFont="1">
      <alignment readingOrder="0"/>
    </xf>
    <xf borderId="33" fillId="13" fontId="4" numFmtId="0" xfId="0" applyBorder="1" applyFont="1"/>
    <xf borderId="31" fillId="22" fontId="3" numFmtId="0" xfId="0" applyAlignment="1" applyBorder="1" applyFill="1" applyFont="1">
      <alignment readingOrder="0"/>
    </xf>
    <xf borderId="43" fillId="22" fontId="3" numFmtId="0" xfId="0" applyAlignment="1" applyBorder="1" applyFont="1">
      <alignment readingOrder="0"/>
    </xf>
    <xf borderId="1" fillId="13" fontId="4" numFmtId="0" xfId="0" applyAlignment="1" applyBorder="1" applyFont="1">
      <alignment readingOrder="0"/>
    </xf>
    <xf borderId="1" fillId="13" fontId="4" numFmtId="0" xfId="0" applyBorder="1" applyFont="1"/>
    <xf borderId="1" fillId="6" fontId="4" numFmtId="0" xfId="0" applyBorder="1" applyFont="1"/>
    <xf borderId="26" fillId="13" fontId="4" numFmtId="0" xfId="0" applyBorder="1" applyFont="1"/>
    <xf borderId="1" fillId="13" fontId="3" numFmtId="0" xfId="0" applyAlignment="1" applyBorder="1" applyFont="1">
      <alignment readingOrder="0"/>
    </xf>
    <xf borderId="31" fillId="23" fontId="3" numFmtId="0" xfId="0" applyAlignment="1" applyBorder="1" applyFill="1" applyFont="1">
      <alignment readingOrder="0"/>
    </xf>
    <xf borderId="24" fillId="13" fontId="4" numFmtId="0" xfId="0" applyAlignment="1" applyBorder="1" applyFont="1">
      <alignment readingOrder="0"/>
    </xf>
    <xf borderId="43" fillId="23" fontId="3" numFmtId="0" xfId="0" applyAlignment="1" applyBorder="1" applyFont="1">
      <alignment readingOrder="0"/>
    </xf>
    <xf borderId="27" fillId="13" fontId="4" numFmtId="0" xfId="0" applyAlignment="1" applyBorder="1" applyFont="1">
      <alignment readingOrder="0"/>
    </xf>
    <xf borderId="27" fillId="13" fontId="4" numFmtId="0" xfId="0" applyBorder="1" applyFont="1"/>
    <xf borderId="31" fillId="12" fontId="3" numFmtId="0" xfId="0" applyAlignment="1" applyBorder="1" applyFont="1">
      <alignment readingOrder="0"/>
    </xf>
    <xf borderId="5" fillId="5" fontId="5" numFmtId="0" xfId="0" applyAlignment="1" applyBorder="1" applyFont="1">
      <alignment horizontal="center" readingOrder="0"/>
    </xf>
    <xf borderId="5" fillId="5" fontId="3" numFmtId="0" xfId="0" applyAlignment="1" applyBorder="1" applyFont="1">
      <alignment readingOrder="0"/>
    </xf>
    <xf borderId="45" fillId="0" fontId="4" numFmtId="0" xfId="0" applyBorder="1" applyFont="1"/>
    <xf borderId="45" fillId="6" fontId="4" numFmtId="0" xfId="0" applyBorder="1" applyFont="1"/>
    <xf borderId="43" fillId="12" fontId="3" numFmtId="0" xfId="0" applyAlignment="1" applyBorder="1" applyFont="1">
      <alignment readingOrder="0"/>
    </xf>
    <xf borderId="46" fillId="21" fontId="3" numFmtId="0" xfId="0" applyAlignment="1" applyBorder="1" applyFont="1">
      <alignment readingOrder="0"/>
    </xf>
    <xf borderId="18" fillId="13" fontId="4" numFmtId="0" xfId="0" applyAlignment="1" applyBorder="1" applyFont="1">
      <alignment readingOrder="0"/>
    </xf>
    <xf borderId="47" fillId="21" fontId="3" numFmtId="0" xfId="0" applyAlignment="1" applyBorder="1" applyFont="1">
      <alignment readingOrder="0"/>
    </xf>
    <xf borderId="48" fillId="13" fontId="4" numFmtId="0" xfId="0" applyAlignment="1" applyBorder="1" applyFont="1">
      <alignment readingOrder="0"/>
    </xf>
    <xf borderId="46" fillId="4" fontId="3" numFmtId="0" xfId="0" applyAlignment="1" applyBorder="1" applyFont="1">
      <alignment readingOrder="0"/>
    </xf>
    <xf borderId="49" fillId="5" fontId="4" numFmtId="0" xfId="0" applyAlignment="1" applyBorder="1" applyFont="1">
      <alignment readingOrder="0"/>
    </xf>
    <xf borderId="45" fillId="5" fontId="3" numFmtId="0" xfId="0" applyAlignment="1" applyBorder="1" applyFont="1">
      <alignment readingOrder="0"/>
    </xf>
    <xf borderId="45" fillId="5" fontId="4" numFmtId="0" xfId="0" applyAlignment="1" applyBorder="1" applyFont="1">
      <alignment readingOrder="0"/>
    </xf>
    <xf borderId="45" fillId="5" fontId="4" numFmtId="0" xfId="0" applyBorder="1" applyFont="1"/>
    <xf borderId="50" fillId="5" fontId="4" numFmtId="0" xfId="0" applyBorder="1" applyFont="1"/>
    <xf borderId="1" fillId="6" fontId="3" numFmtId="0" xfId="0" applyAlignment="1" applyBorder="1" applyFont="1">
      <alignment readingOrder="0"/>
    </xf>
    <xf borderId="31" fillId="24" fontId="3" numFmtId="0" xfId="0" applyAlignment="1" applyBorder="1" applyFill="1" applyFont="1">
      <alignment readingOrder="0"/>
    </xf>
    <xf borderId="51" fillId="0" fontId="9" numFmtId="0" xfId="0" applyAlignment="1" applyBorder="1" applyFont="1">
      <alignment readingOrder="0"/>
    </xf>
    <xf borderId="52" fillId="6" fontId="10" numFmtId="0" xfId="0" applyBorder="1" applyFont="1"/>
    <xf borderId="53" fillId="25" fontId="10" numFmtId="0" xfId="0" applyAlignment="1" applyBorder="1" applyFill="1" applyFont="1">
      <alignment readingOrder="0"/>
    </xf>
    <xf borderId="54" fillId="5" fontId="10" numFmtId="0" xfId="0" applyAlignment="1" applyBorder="1" applyFont="1">
      <alignment horizontal="center"/>
    </xf>
    <xf borderId="54" fillId="5" fontId="3" numFmtId="0" xfId="0" applyBorder="1" applyFont="1"/>
    <xf borderId="54" fillId="5" fontId="4" numFmtId="0" xfId="0" applyBorder="1" applyFont="1"/>
    <xf borderId="54" fillId="9" fontId="4" numFmtId="0" xfId="0" applyBorder="1" applyFont="1"/>
    <xf borderId="55" fillId="5" fontId="4" numFmtId="0" xfId="0" applyBorder="1" applyFont="1"/>
    <xf borderId="56" fillId="7" fontId="12" numFmtId="0" xfId="0" applyBorder="1" applyFont="1"/>
    <xf borderId="0" fillId="5" fontId="13" numFmtId="0" xfId="0" applyFont="1"/>
    <xf borderId="0" fillId="7" fontId="5" numFmtId="0" xfId="0" applyAlignment="1" applyFont="1">
      <alignment readingOrder="0"/>
    </xf>
    <xf borderId="1" fillId="4" fontId="3" numFmtId="0" xfId="0" applyAlignment="1" applyBorder="1" applyFont="1">
      <alignment horizontal="center" readingOrder="0" shrinkToFit="0" vertical="center" wrapText="1"/>
    </xf>
    <xf borderId="1" fillId="24" fontId="3" numFmtId="0" xfId="0" applyAlignment="1" applyBorder="1" applyFont="1">
      <alignment readingOrder="0" shrinkToFit="0" wrapText="1"/>
    </xf>
    <xf borderId="57" fillId="22" fontId="3" numFmtId="0" xfId="0" applyAlignment="1" applyBorder="1" applyFont="1">
      <alignment readingOrder="0" vertical="center"/>
    </xf>
    <xf borderId="58" fillId="0" fontId="14" numFmtId="0" xfId="0" applyBorder="1" applyFont="1"/>
    <xf borderId="28" fillId="0" fontId="14" numFmtId="0" xfId="0" applyBorder="1" applyFont="1"/>
    <xf borderId="59" fillId="0" fontId="14" numFmtId="0" xfId="0" applyBorder="1" applyFont="1"/>
    <xf borderId="60" fillId="0" fontId="14" numFmtId="0" xfId="0" applyBorder="1" applyFont="1"/>
    <xf borderId="0" fillId="0" fontId="5" numFmtId="0" xfId="0" applyAlignment="1" applyFont="1">
      <alignment horizontal="right" readingOrder="0"/>
    </xf>
    <xf borderId="31" fillId="22" fontId="5" numFmtId="0" xfId="0" applyAlignment="1" applyBorder="1" applyFont="1">
      <alignment readingOrder="0"/>
    </xf>
    <xf borderId="0" fillId="22" fontId="15" numFmtId="0" xfId="0" applyFont="1"/>
    <xf borderId="0" fillId="22" fontId="4" numFmtId="0" xfId="0" applyFont="1"/>
    <xf borderId="0" fillId="0" fontId="16" numFmtId="0" xfId="0" applyAlignment="1" applyFont="1">
      <alignment readingOrder="0"/>
    </xf>
    <xf borderId="0" fillId="0" fontId="16" numFmtId="0" xfId="0" applyFont="1"/>
    <xf borderId="0" fillId="21" fontId="4" numFmtId="0" xfId="0" applyFont="1"/>
    <xf borderId="30" fillId="26" fontId="3" numFmtId="0" xfId="0" applyAlignment="1" applyBorder="1" applyFill="1" applyFont="1">
      <alignment readingOrder="0"/>
    </xf>
    <xf borderId="3" fillId="5" fontId="4" numFmtId="0" xfId="0" applyAlignment="1" applyBorder="1" applyFont="1">
      <alignment readingOrder="0"/>
    </xf>
    <xf borderId="5" fillId="5" fontId="4" numFmtId="0" xfId="0" applyAlignment="1" applyBorder="1" applyFont="1">
      <alignment readingOrder="0"/>
    </xf>
    <xf borderId="21" fillId="5" fontId="4" numFmtId="0" xfId="0" applyBorder="1" applyFont="1"/>
    <xf borderId="12" fillId="13" fontId="3" numFmtId="0" xfId="0" applyAlignment="1" applyBorder="1" applyFont="1">
      <alignment readingOrder="0"/>
    </xf>
    <xf borderId="12" fillId="13" fontId="4" numFmtId="0" xfId="0" applyAlignment="1" applyBorder="1" applyFont="1">
      <alignment readingOrder="0"/>
    </xf>
    <xf borderId="12" fillId="13" fontId="4" numFmtId="0" xfId="0" applyBorder="1" applyFont="1"/>
    <xf borderId="20" fillId="13" fontId="4" numFmtId="0" xfId="0" applyBorder="1" applyFont="1"/>
    <xf borderId="31" fillId="27" fontId="3" numFmtId="0" xfId="0" applyAlignment="1" applyBorder="1" applyFill="1" applyFont="1">
      <alignment readingOrder="0"/>
    </xf>
    <xf borderId="4" fillId="13" fontId="4" numFmtId="0" xfId="0" applyAlignment="1" applyBorder="1" applyFont="1">
      <alignment readingOrder="0"/>
    </xf>
    <xf borderId="36" fillId="28" fontId="3" numFmtId="0" xfId="0" applyAlignment="1" applyBorder="1" applyFill="1" applyFont="1">
      <alignment readingOrder="0"/>
    </xf>
    <xf borderId="29" fillId="0" fontId="4" numFmtId="0" xfId="0" applyAlignment="1" applyBorder="1" applyFont="1">
      <alignment readingOrder="0"/>
    </xf>
    <xf borderId="28" fillId="5" fontId="3" numFmtId="0" xfId="0" applyAlignment="1" applyBorder="1" applyFont="1">
      <alignment readingOrder="0"/>
    </xf>
    <xf borderId="28" fillId="5" fontId="4" numFmtId="0" xfId="0" applyAlignment="1" applyBorder="1" applyFont="1">
      <alignment readingOrder="0"/>
    </xf>
    <xf borderId="36" fillId="5" fontId="4" numFmtId="0" xfId="0" applyBorder="1" applyFont="1"/>
    <xf borderId="39" fillId="13" fontId="4" numFmtId="0" xfId="0" applyBorder="1" applyFont="1"/>
    <xf borderId="0" fillId="5" fontId="11" numFmtId="0" xfId="0" applyAlignment="1" applyFont="1">
      <alignment vertical="bottom"/>
    </xf>
    <xf borderId="31" fillId="9" fontId="3" numFmtId="0" xfId="0" applyAlignment="1" applyBorder="1" applyFont="1">
      <alignment readingOrder="0"/>
    </xf>
    <xf borderId="41" fillId="9" fontId="3" numFmtId="0" xfId="0" applyAlignment="1" applyBorder="1" applyFont="1">
      <alignment readingOrder="0"/>
    </xf>
    <xf borderId="31" fillId="26" fontId="3" numFmtId="0" xfId="0" applyAlignment="1" applyBorder="1" applyFont="1">
      <alignment readingOrder="0"/>
    </xf>
    <xf borderId="52" fillId="5" fontId="10" numFmtId="0" xfId="0" applyBorder="1" applyFont="1"/>
    <xf borderId="53" fillId="5" fontId="10" numFmtId="0" xfId="0" applyAlignment="1" applyBorder="1" applyFont="1">
      <alignment readingOrder="0"/>
    </xf>
    <xf borderId="9" fillId="5" fontId="4" numFmtId="0" xfId="0" applyBorder="1" applyFont="1"/>
    <xf borderId="61" fillId="10" fontId="3" numFmtId="0" xfId="0" applyAlignment="1" applyBorder="1" applyFont="1">
      <alignment horizontal="center" readingOrder="0" vertical="center"/>
    </xf>
    <xf borderId="62" fillId="0" fontId="14" numFmtId="0" xfId="0" applyBorder="1" applyFont="1"/>
    <xf borderId="36" fillId="9" fontId="3" numFmtId="0" xfId="0" applyAlignment="1" applyBorder="1" applyFont="1">
      <alignment readingOrder="0"/>
    </xf>
    <xf borderId="43" fillId="13" fontId="3" numFmtId="0" xfId="0" applyAlignment="1" applyBorder="1" applyFont="1">
      <alignment readingOrder="0"/>
    </xf>
    <xf borderId="46" fillId="12" fontId="3" numFmtId="0" xfId="0" applyAlignment="1" applyBorder="1" applyFont="1">
      <alignment readingOrder="0"/>
    </xf>
    <xf borderId="47" fillId="12" fontId="3" numFmtId="0" xfId="0" applyAlignment="1" applyBorder="1" applyFont="1">
      <alignment readingOrder="0"/>
    </xf>
    <xf borderId="63" fillId="5" fontId="4" numFmtId="0" xfId="0" applyAlignment="1" applyBorder="1" applyFont="1">
      <alignment readingOrder="0"/>
    </xf>
    <xf borderId="64" fillId="2" fontId="1" numFmtId="0" xfId="0" applyBorder="1" applyFont="1"/>
    <xf borderId="64" fillId="2" fontId="1" numFmtId="0" xfId="0" applyAlignment="1" applyBorder="1" applyFont="1">
      <alignment readingOrder="0"/>
    </xf>
    <xf borderId="27" fillId="0" fontId="3" numFmtId="0" xfId="0" applyAlignment="1" applyBorder="1" applyFont="1">
      <alignment readingOrder="0"/>
    </xf>
    <xf borderId="27" fillId="0" fontId="4" numFmtId="0" xfId="0" applyAlignment="1" applyBorder="1" applyFont="1">
      <alignment readingOrder="0"/>
    </xf>
    <xf borderId="27" fillId="0" fontId="17" numFmtId="0" xfId="0" applyBorder="1" applyFont="1"/>
    <xf borderId="0" fillId="0" fontId="4" numFmtId="165" xfId="0" applyAlignment="1" applyFont="1" applyNumberFormat="1">
      <alignment readingOrder="0"/>
    </xf>
    <xf borderId="27" fillId="5" fontId="4" numFmtId="0" xfId="0" applyAlignment="1" applyBorder="1" applyFont="1">
      <alignment readingOrder="0"/>
    </xf>
    <xf borderId="27" fillId="5" fontId="6" numFmtId="0" xfId="0" applyBorder="1" applyFont="1"/>
    <xf borderId="22" fillId="0" fontId="4" numFmtId="2" xfId="0" applyAlignment="1" applyBorder="1" applyFont="1" applyNumberFormat="1">
      <alignment readingOrder="0"/>
    </xf>
    <xf borderId="32" fillId="0" fontId="17" numFmtId="0" xfId="0" applyBorder="1" applyFont="1"/>
    <xf borderId="65" fillId="0" fontId="4" numFmtId="2" xfId="0" applyAlignment="1" applyBorder="1" applyFont="1" applyNumberFormat="1">
      <alignment readingOrder="0"/>
    </xf>
    <xf borderId="0" fillId="0" fontId="4" numFmtId="166" xfId="0" applyAlignment="1" applyFont="1" applyNumberFormat="1">
      <alignment readingOrder="0"/>
    </xf>
    <xf borderId="56" fillId="0" fontId="4" numFmtId="0" xfId="0" applyAlignment="1" applyBorder="1" applyFont="1">
      <alignment readingOrder="0"/>
    </xf>
    <xf borderId="56" fillId="0" fontId="10" numFmtId="0" xfId="0" applyBorder="1" applyFont="1"/>
    <xf borderId="56" fillId="0" fontId="4" numFmtId="0" xfId="0" applyAlignment="1" applyBorder="1" applyFont="1">
      <alignment horizontal="right" readingOrder="0"/>
    </xf>
    <xf borderId="66" fillId="0" fontId="4" numFmtId="0" xfId="0" applyAlignment="1" applyBorder="1" applyFont="1">
      <alignment readingOrder="0"/>
    </xf>
    <xf borderId="56" fillId="0" fontId="4" numFmtId="2" xfId="0" applyAlignment="1" applyBorder="1" applyFont="1" applyNumberFormat="1">
      <alignment readingOrder="0"/>
    </xf>
    <xf borderId="38" fillId="0" fontId="4" numFmtId="0" xfId="0" applyAlignment="1" applyBorder="1" applyFont="1">
      <alignment readingOrder="0"/>
    </xf>
    <xf borderId="56" fillId="0" fontId="5" numFmtId="0" xfId="0" applyAlignment="1" applyBorder="1" applyFont="1">
      <alignment readingOrder="0"/>
    </xf>
    <xf borderId="56" fillId="0" fontId="18" numFmtId="164" xfId="0" applyAlignment="1" applyBorder="1" applyFont="1" applyNumberFormat="1">
      <alignment horizontal="right" textRotation="0"/>
    </xf>
    <xf borderId="0" fillId="0" fontId="4" numFmtId="167" xfId="0" applyFont="1" applyNumberFormat="1"/>
    <xf borderId="56" fillId="29" fontId="5" numFmtId="0" xfId="0" applyAlignment="1" applyBorder="1" applyFill="1" applyFont="1">
      <alignment readingOrder="0"/>
    </xf>
    <xf borderId="67" fillId="0" fontId="4" numFmtId="168" xfId="0" applyAlignment="1" applyBorder="1" applyFont="1" applyNumberFormat="1">
      <alignment horizontal="center" readingOrder="0" vertical="center"/>
    </xf>
    <xf borderId="28" fillId="0" fontId="4" numFmtId="169" xfId="0" applyAlignment="1" applyBorder="1" applyFont="1" applyNumberFormat="1">
      <alignment readingOrder="0"/>
    </xf>
    <xf borderId="28" fillId="30" fontId="4" numFmtId="0" xfId="0" applyAlignment="1" applyBorder="1" applyFill="1" applyFont="1">
      <alignment readingOrder="0"/>
    </xf>
    <xf borderId="28" fillId="0" fontId="4" numFmtId="2" xfId="0" applyAlignment="1" applyBorder="1" applyFont="1" applyNumberFormat="1">
      <alignment readingOrder="0"/>
    </xf>
    <xf borderId="25" fillId="0" fontId="4" numFmtId="1" xfId="0" applyAlignment="1" applyBorder="1" applyFont="1" applyNumberFormat="1">
      <alignment horizontal="center" readingOrder="0" vertical="center"/>
    </xf>
    <xf borderId="25" fillId="0" fontId="4" numFmtId="2" xfId="0" applyAlignment="1" applyBorder="1" applyFont="1" applyNumberFormat="1">
      <alignment horizontal="center" readingOrder="0" vertical="center"/>
    </xf>
    <xf borderId="68" fillId="0" fontId="19" numFmtId="2" xfId="0" applyAlignment="1" applyBorder="1" applyFont="1" applyNumberFormat="1">
      <alignment horizontal="center" readingOrder="0" vertical="center"/>
    </xf>
    <xf borderId="69" fillId="0" fontId="20" numFmtId="2" xfId="0" applyAlignment="1" applyBorder="1" applyFont="1" applyNumberFormat="1">
      <alignment horizontal="center" vertical="center"/>
    </xf>
    <xf borderId="69" fillId="0" fontId="20" numFmtId="2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10" fillId="0" fontId="14" numFmtId="0" xfId="0" applyBorder="1" applyFont="1"/>
    <xf borderId="19" fillId="0" fontId="4" numFmtId="170" xfId="0" applyAlignment="1" applyBorder="1" applyFont="1" applyNumberFormat="1">
      <alignment readingOrder="0"/>
    </xf>
    <xf borderId="19" fillId="0" fontId="4" numFmtId="2" xfId="0" applyAlignment="1" applyBorder="1" applyFont="1" applyNumberFormat="1">
      <alignment readingOrder="0"/>
    </xf>
    <xf borderId="12" fillId="0" fontId="14" numFmtId="0" xfId="0" applyBorder="1" applyFont="1"/>
    <xf borderId="13" fillId="0" fontId="14" numFmtId="0" xfId="0" applyBorder="1" applyFont="1"/>
    <xf borderId="20" fillId="0" fontId="14" numFmtId="0" xfId="0" applyBorder="1" applyFont="1"/>
    <xf borderId="70" fillId="0" fontId="4" numFmtId="168" xfId="0" applyAlignment="1" applyBorder="1" applyFont="1" applyNumberFormat="1">
      <alignment horizontal="center" readingOrder="0" vertical="center"/>
    </xf>
    <xf borderId="5" fillId="0" fontId="4" numFmtId="170" xfId="0" applyAlignment="1" applyBorder="1" applyFont="1" applyNumberFormat="1">
      <alignment readingOrder="0"/>
    </xf>
    <xf borderId="45" fillId="0" fontId="4" numFmtId="1" xfId="0" applyAlignment="1" applyBorder="1" applyFont="1" applyNumberFormat="1">
      <alignment horizontal="center" readingOrder="0" vertical="center"/>
    </xf>
    <xf borderId="45" fillId="0" fontId="4" numFmtId="2" xfId="0" applyAlignment="1" applyBorder="1" applyFont="1" applyNumberFormat="1">
      <alignment horizontal="center" readingOrder="0" vertical="center"/>
    </xf>
    <xf borderId="45" fillId="0" fontId="19" numFmtId="2" xfId="0" applyAlignment="1" applyBorder="1" applyFont="1" applyNumberFormat="1">
      <alignment horizontal="center" readingOrder="0" vertical="center"/>
    </xf>
    <xf borderId="50" fillId="0" fontId="20" numFmtId="2" xfId="0" applyAlignment="1" applyBorder="1" applyFont="1" applyNumberFormat="1">
      <alignment horizontal="center" vertical="center"/>
    </xf>
    <xf borderId="50" fillId="0" fontId="20" numFmtId="2" xfId="0" applyAlignment="1" applyBorder="1" applyFont="1" applyNumberFormat="1">
      <alignment horizontal="center" readingOrder="0" vertical="center"/>
    </xf>
    <xf borderId="67" fillId="0" fontId="14" numFmtId="0" xfId="0" applyBorder="1" applyFont="1"/>
    <xf borderId="27" fillId="0" fontId="4" numFmtId="169" xfId="0" applyAlignment="1" applyBorder="1" applyFont="1" applyNumberFormat="1">
      <alignment readingOrder="0"/>
    </xf>
    <xf borderId="27" fillId="0" fontId="4" numFmtId="2" xfId="0" applyAlignment="1" applyBorder="1" applyFont="1" applyNumberFormat="1">
      <alignment readingOrder="0"/>
    </xf>
    <xf borderId="25" fillId="0" fontId="14" numFmtId="0" xfId="0" applyBorder="1" applyFont="1"/>
    <xf borderId="69" fillId="0" fontId="14" numFmtId="0" xfId="0" applyBorder="1" applyFont="1"/>
    <xf borderId="19" fillId="0" fontId="4" numFmtId="169" xfId="0" applyAlignment="1" applyBorder="1" applyFont="1" applyNumberFormat="1">
      <alignment readingOrder="0"/>
    </xf>
    <xf borderId="5" fillId="0" fontId="4" numFmtId="169" xfId="0" applyAlignment="1" applyBorder="1" applyFont="1" applyNumberFormat="1">
      <alignment readingOrder="0"/>
    </xf>
    <xf borderId="45" fillId="0" fontId="4" numFmtId="0" xfId="0" applyAlignment="1" applyBorder="1" applyFont="1">
      <alignment horizontal="center" vertical="center"/>
    </xf>
    <xf borderId="45" fillId="0" fontId="21" numFmtId="0" xfId="0" applyAlignment="1" applyBorder="1" applyFont="1">
      <alignment horizontal="center" readingOrder="0" vertical="center"/>
    </xf>
    <xf borderId="45" fillId="0" fontId="4" numFmtId="0" xfId="0" applyAlignment="1" applyBorder="1" applyFont="1">
      <alignment horizontal="center" readingOrder="0" vertical="center"/>
    </xf>
    <xf borderId="0" fillId="0" fontId="4" numFmtId="168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2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>
        <b/>
        <color rgb="FFFF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</dxfs>
  <tableStyles count="12">
    <tableStyle count="3" pivot="0" name="COMMANDE 1312-style">
      <tableStyleElement dxfId="3" type="headerRow"/>
      <tableStyleElement dxfId="4" type="firstRowStripe"/>
      <tableStyleElement dxfId="5" type="secondRowStripe"/>
    </tableStyle>
    <tableStyle count="3" pivot="0" name="COMMANDE 1312-style 2">
      <tableStyleElement dxfId="3" type="headerRow"/>
      <tableStyleElement dxfId="4" type="firstRowStripe"/>
      <tableStyleElement dxfId="5" type="secondRowStripe"/>
    </tableStyle>
    <tableStyle count="3" pivot="0" name="COMMANDE 1312-style 3">
      <tableStyleElement dxfId="3" type="headerRow"/>
      <tableStyleElement dxfId="4" type="firstRowStripe"/>
      <tableStyleElement dxfId="5" type="secondRowStripe"/>
    </tableStyle>
    <tableStyle count="3" pivot="0" name="COMMANDE 1312-style 4">
      <tableStyleElement dxfId="3" type="headerRow"/>
      <tableStyleElement dxfId="4" type="firstRowStripe"/>
      <tableStyleElement dxfId="5" type="secondRowStripe"/>
    </tableStyle>
    <tableStyle count="3" pivot="0" name="COMMANDE 0301-style">
      <tableStyleElement dxfId="3" type="headerRow"/>
      <tableStyleElement dxfId="4" type="firstRowStripe"/>
      <tableStyleElement dxfId="5" type="secondRowStripe"/>
    </tableStyle>
    <tableStyle count="3" pivot="0" name="COMMANDE 0301-style 2">
      <tableStyleElement dxfId="3" type="headerRow"/>
      <tableStyleElement dxfId="4" type="firstRowStripe"/>
      <tableStyleElement dxfId="5" type="secondRowStripe"/>
    </tableStyle>
    <tableStyle count="3" pivot="0" name="COMMANDE 0301-style 3">
      <tableStyleElement dxfId="3" type="headerRow"/>
      <tableStyleElement dxfId="4" type="firstRowStripe"/>
      <tableStyleElement dxfId="5" type="secondRowStripe"/>
    </tableStyle>
    <tableStyle count="3" pivot="0" name="COMMANDE 0301-style 4">
      <tableStyleElement dxfId="3" type="headerRow"/>
      <tableStyleElement dxfId="4" type="firstRowStripe"/>
      <tableStyleElement dxfId="5" type="secondRowStripe"/>
    </tableStyle>
    <tableStyle count="3" pivot="0" name="COMMANDE 2001-style">
      <tableStyleElement dxfId="3" type="headerRow"/>
      <tableStyleElement dxfId="4" type="firstRowStripe"/>
      <tableStyleElement dxfId="5" type="secondRowStripe"/>
    </tableStyle>
    <tableStyle count="3" pivot="0" name="COMMANDE 2001-style 2">
      <tableStyleElement dxfId="3" type="headerRow"/>
      <tableStyleElement dxfId="4" type="firstRowStripe"/>
      <tableStyleElement dxfId="5" type="secondRowStripe"/>
    </tableStyle>
    <tableStyle count="3" pivot="0" name="COMMANDE 2001-style 3">
      <tableStyleElement dxfId="3" type="headerRow"/>
      <tableStyleElement dxfId="4" type="firstRowStripe"/>
      <tableStyleElement dxfId="5" type="secondRowStripe"/>
    </tableStyle>
    <tableStyle count="3" pivot="0" name="COMMANDE 2001-style 4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2:M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MMANDE 13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L4:N4" displayName="Table_2" name="Table_2" id="2">
  <tableColumns count="3">
    <tableColumn name="Column1" id="1"/>
    <tableColumn name="Column2" id="2"/>
    <tableColumn name="Column3" id="3"/>
  </tableColumns>
  <tableStyleInfo name="COMMANDE 13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L9:M9" displayName="Table_3" name="Table_3" id="3">
  <tableColumns count="2">
    <tableColumn name="Column1" id="1"/>
    <tableColumn name="Column2" id="2"/>
  </tableColumns>
  <tableStyleInfo name="COMMANDE 131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L11:M11" displayName="Table_4" name="Table_4" id="4">
  <tableColumns count="2">
    <tableColumn name="Column1" id="1"/>
    <tableColumn name="Column2" id="2"/>
  </tableColumns>
  <tableStyleInfo name="COMMANDE 131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E2:M2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MMANDE 030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L4:N4" displayName="Table_6" name="Table_6" id="6">
  <tableColumns count="3">
    <tableColumn name="Column1" id="1"/>
    <tableColumn name="Column2" id="2"/>
    <tableColumn name="Column3" id="3"/>
  </tableColumns>
  <tableStyleInfo name="COMMANDE 030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8:M8" displayName="Table_7" name="Table_7" id="7">
  <tableColumns count="2">
    <tableColumn name="Column1" id="1"/>
    <tableColumn name="Column2" id="2"/>
  </tableColumns>
  <tableStyleInfo name="COMMANDE 030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L10:M10" displayName="Table_8" name="Table_8" id="8">
  <tableColumns count="2">
    <tableColumn name="Column1" id="1"/>
    <tableColumn name="Column2" id="2"/>
  </tableColumns>
  <tableStyleInfo name="COMMANDE 030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E2:M2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MMANDE 200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L4:N4" displayName="Table_10" name="Table_10" id="10">
  <tableColumns count="3">
    <tableColumn name="Column1" id="1"/>
    <tableColumn name="Column2" id="2"/>
    <tableColumn name="Column3" id="3"/>
  </tableColumns>
  <tableStyleInfo name="COMMANDE 200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L8:M8" displayName="Table_11" name="Table_11" id="11">
  <tableColumns count="2">
    <tableColumn name="Column1" id="1"/>
    <tableColumn name="Column2" id="2"/>
  </tableColumns>
  <tableStyleInfo name="COMMANDE 200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L10:M10" displayName="Table_12" name="Table_12" id="12">
  <tableColumns count="2">
    <tableColumn name="Column1" id="1"/>
    <tableColumn name="Column2" id="2"/>
  </tableColumns>
  <tableStyleInfo name="COMMANDE 200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0.43"/>
    <col customWidth="1" min="3" max="3" width="7.14"/>
    <col customWidth="1" min="4" max="4" width="12.86"/>
    <col customWidth="1" min="5" max="5" width="10.43"/>
    <col customWidth="1" min="6" max="6" width="7.43"/>
    <col customWidth="1" min="7" max="7" width="8.43"/>
    <col customWidth="1" min="8" max="8" width="9.14"/>
    <col customWidth="1" min="9" max="9" width="12.29"/>
    <col customWidth="1" min="10" max="10" width="9.71"/>
    <col customWidth="1" min="11" max="11" width="13.86"/>
    <col customWidth="1" min="12" max="12" width="4.86"/>
    <col customWidth="1" min="13" max="13" width="8.71"/>
    <col customWidth="1" min="14" max="14" width="13.14"/>
    <col customWidth="1" min="15" max="15" width="14.71"/>
    <col customWidth="1" min="16" max="30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</row>
    <row r="2">
      <c r="A2" s="6" t="s">
        <v>11</v>
      </c>
      <c r="B2" s="7">
        <v>277.0</v>
      </c>
      <c r="C2" s="8">
        <f t="shared" ref="C2:C21" si="1">B2*F2</f>
        <v>277</v>
      </c>
      <c r="D2" s="9">
        <v>450.0</v>
      </c>
      <c r="E2" s="10">
        <v>400.0</v>
      </c>
      <c r="F2" s="11">
        <v>1.0</v>
      </c>
      <c r="G2" s="11">
        <v>1.0</v>
      </c>
      <c r="H2" s="12">
        <f t="shared" ref="H2:H21" si="2">F2-G2</f>
        <v>0</v>
      </c>
      <c r="I2" s="13">
        <f>E2*G2</f>
        <v>400</v>
      </c>
      <c r="J2" s="14">
        <f>E2-B2</f>
        <v>123</v>
      </c>
      <c r="K2" s="15">
        <f t="shared" ref="K2:K21" si="3">J2*G2</f>
        <v>123</v>
      </c>
      <c r="M2" s="16" t="s">
        <v>12</v>
      </c>
      <c r="N2" s="17"/>
      <c r="O2" s="18">
        <f>F22*'Charges '!B13</f>
        <v>325.5</v>
      </c>
    </row>
    <row r="3">
      <c r="A3" s="19" t="s">
        <v>11</v>
      </c>
      <c r="B3" s="20">
        <v>277.0</v>
      </c>
      <c r="C3" s="21">
        <f t="shared" si="1"/>
        <v>831</v>
      </c>
      <c r="D3" s="22">
        <v>450.0</v>
      </c>
      <c r="E3" s="23">
        <v>0.0</v>
      </c>
      <c r="F3" s="23">
        <v>3.0</v>
      </c>
      <c r="G3" s="23">
        <v>1.0</v>
      </c>
      <c r="H3" s="24">
        <f t="shared" si="2"/>
        <v>2</v>
      </c>
      <c r="I3" s="25">
        <f>D3*G3</f>
        <v>450</v>
      </c>
      <c r="J3" s="26">
        <f>D3-B3</f>
        <v>173</v>
      </c>
      <c r="K3" s="27">
        <f t="shared" si="3"/>
        <v>173</v>
      </c>
      <c r="M3" s="16" t="s">
        <v>13</v>
      </c>
      <c r="N3" s="17"/>
      <c r="O3" s="28">
        <f>K22-O2</f>
        <v>1144.5</v>
      </c>
    </row>
    <row r="4">
      <c r="A4" s="29" t="s">
        <v>14</v>
      </c>
      <c r="B4" s="7">
        <v>53.0</v>
      </c>
      <c r="C4" s="8">
        <f t="shared" si="1"/>
        <v>106</v>
      </c>
      <c r="D4" s="11">
        <v>0.0</v>
      </c>
      <c r="E4" s="10">
        <v>115.0</v>
      </c>
      <c r="F4" s="11">
        <v>2.0</v>
      </c>
      <c r="G4" s="11">
        <v>2.0</v>
      </c>
      <c r="H4" s="12">
        <f t="shared" si="2"/>
        <v>0</v>
      </c>
      <c r="I4" s="30">
        <f>E4*G4</f>
        <v>230</v>
      </c>
      <c r="J4" s="14">
        <f>E4-B4</f>
        <v>62</v>
      </c>
      <c r="K4" s="15">
        <f t="shared" si="3"/>
        <v>124</v>
      </c>
      <c r="M4" s="31" t="s">
        <v>15</v>
      </c>
    </row>
    <row r="5">
      <c r="A5" s="32" t="s">
        <v>14</v>
      </c>
      <c r="B5" s="33">
        <v>0.0</v>
      </c>
      <c r="C5" s="21">
        <f t="shared" si="1"/>
        <v>0</v>
      </c>
      <c r="D5" s="34">
        <v>140.0</v>
      </c>
      <c r="E5" s="35">
        <v>0.0</v>
      </c>
      <c r="F5" s="36">
        <v>0.0</v>
      </c>
      <c r="G5" s="36">
        <v>0.0</v>
      </c>
      <c r="H5" s="37">
        <f t="shared" si="2"/>
        <v>0</v>
      </c>
      <c r="I5" s="25">
        <f>D5*G5</f>
        <v>0</v>
      </c>
      <c r="J5" s="26">
        <f>D5-B5</f>
        <v>140</v>
      </c>
      <c r="K5" s="27">
        <f t="shared" si="3"/>
        <v>0</v>
      </c>
    </row>
    <row r="6">
      <c r="A6" s="38" t="s">
        <v>16</v>
      </c>
      <c r="B6" s="39">
        <v>21.0</v>
      </c>
      <c r="C6" s="8">
        <f t="shared" si="1"/>
        <v>21</v>
      </c>
      <c r="D6" s="11">
        <v>0.0</v>
      </c>
      <c r="E6" s="10">
        <v>70.0</v>
      </c>
      <c r="F6" s="11">
        <v>1.0</v>
      </c>
      <c r="G6" s="40">
        <v>1.0</v>
      </c>
      <c r="H6" s="12">
        <f t="shared" si="2"/>
        <v>0</v>
      </c>
      <c r="I6" s="30">
        <f>E6*G6</f>
        <v>70</v>
      </c>
      <c r="J6" s="14">
        <f>E6-B6</f>
        <v>49</v>
      </c>
      <c r="K6" s="15">
        <f t="shared" si="3"/>
        <v>49</v>
      </c>
    </row>
    <row r="7">
      <c r="A7" s="41" t="s">
        <v>16</v>
      </c>
      <c r="B7" s="33">
        <v>0.0</v>
      </c>
      <c r="C7" s="21">
        <f t="shared" si="1"/>
        <v>0</v>
      </c>
      <c r="D7" s="42">
        <v>85.0</v>
      </c>
      <c r="E7" s="35">
        <v>0.0</v>
      </c>
      <c r="F7" s="36">
        <v>0.0</v>
      </c>
      <c r="G7" s="36">
        <v>0.0</v>
      </c>
      <c r="H7" s="43">
        <f t="shared" si="2"/>
        <v>0</v>
      </c>
      <c r="I7" s="44">
        <f>D7*G7</f>
        <v>0</v>
      </c>
      <c r="J7" s="45">
        <f>D7-B7</f>
        <v>85</v>
      </c>
      <c r="K7" s="46">
        <f t="shared" si="3"/>
        <v>0</v>
      </c>
    </row>
    <row r="8">
      <c r="A8" s="47" t="s">
        <v>17</v>
      </c>
      <c r="B8" s="7">
        <v>47.0</v>
      </c>
      <c r="C8" s="8">
        <f t="shared" si="1"/>
        <v>94</v>
      </c>
      <c r="D8" s="11">
        <v>0.0</v>
      </c>
      <c r="E8" s="10">
        <v>100.0</v>
      </c>
      <c r="F8" s="11">
        <v>2.0</v>
      </c>
      <c r="G8" s="11">
        <v>2.0</v>
      </c>
      <c r="H8" s="9">
        <f t="shared" si="2"/>
        <v>0</v>
      </c>
      <c r="I8" s="9">
        <f>E8*G8</f>
        <v>200</v>
      </c>
      <c r="J8" s="48">
        <f>E8-B8</f>
        <v>53</v>
      </c>
      <c r="K8" s="49">
        <f t="shared" si="3"/>
        <v>106</v>
      </c>
    </row>
    <row r="9">
      <c r="A9" s="47" t="s">
        <v>17</v>
      </c>
      <c r="B9" s="50">
        <v>0.0</v>
      </c>
      <c r="C9" s="21">
        <f t="shared" si="1"/>
        <v>0</v>
      </c>
      <c r="D9" s="22">
        <v>119.0</v>
      </c>
      <c r="E9" s="51">
        <v>0.0</v>
      </c>
      <c r="F9" s="23">
        <v>0.0</v>
      </c>
      <c r="G9" s="23">
        <v>0.0</v>
      </c>
      <c r="H9" s="44">
        <f t="shared" si="2"/>
        <v>0</v>
      </c>
      <c r="I9" s="44">
        <f>D9*G9</f>
        <v>0</v>
      </c>
      <c r="J9" s="45">
        <f>D9-B9</f>
        <v>119</v>
      </c>
      <c r="K9" s="46">
        <f t="shared" si="3"/>
        <v>0</v>
      </c>
    </row>
    <row r="10">
      <c r="A10" s="52" t="s">
        <v>18</v>
      </c>
      <c r="B10" s="39">
        <v>52.0</v>
      </c>
      <c r="C10" s="8">
        <f t="shared" si="1"/>
        <v>52</v>
      </c>
      <c r="D10" s="11">
        <v>0.0</v>
      </c>
      <c r="E10" s="10">
        <v>123.0</v>
      </c>
      <c r="F10" s="11">
        <v>1.0</v>
      </c>
      <c r="G10" s="11">
        <v>1.0</v>
      </c>
      <c r="H10" s="9">
        <f t="shared" si="2"/>
        <v>0</v>
      </c>
      <c r="I10" s="9">
        <f>E10*G10</f>
        <v>123</v>
      </c>
      <c r="J10" s="48">
        <f>E10-B10</f>
        <v>71</v>
      </c>
      <c r="K10" s="49">
        <f t="shared" si="3"/>
        <v>71</v>
      </c>
    </row>
    <row r="11">
      <c r="A11" s="52" t="s">
        <v>18</v>
      </c>
      <c r="B11" s="33">
        <v>52.0</v>
      </c>
      <c r="C11" s="21">
        <f t="shared" si="1"/>
        <v>52</v>
      </c>
      <c r="D11" s="42">
        <v>145.0</v>
      </c>
      <c r="E11" s="36">
        <v>0.0</v>
      </c>
      <c r="F11" s="36">
        <v>1.0</v>
      </c>
      <c r="G11" s="36">
        <v>1.0</v>
      </c>
      <c r="H11" s="43">
        <f t="shared" si="2"/>
        <v>0</v>
      </c>
      <c r="I11" s="44">
        <f>D11*G11</f>
        <v>145</v>
      </c>
      <c r="J11" s="45">
        <f>D11-B11</f>
        <v>93</v>
      </c>
      <c r="K11" s="53">
        <f t="shared" si="3"/>
        <v>93</v>
      </c>
    </row>
    <row r="12">
      <c r="A12" s="54" t="s">
        <v>19</v>
      </c>
      <c r="B12" s="55">
        <v>35.0</v>
      </c>
      <c r="C12" s="8">
        <f t="shared" si="1"/>
        <v>70</v>
      </c>
      <c r="D12" s="11">
        <v>0.0</v>
      </c>
      <c r="E12" s="10">
        <v>85.0</v>
      </c>
      <c r="F12" s="11">
        <v>2.0</v>
      </c>
      <c r="G12" s="11">
        <v>2.0</v>
      </c>
      <c r="H12" s="9">
        <f t="shared" si="2"/>
        <v>0</v>
      </c>
      <c r="I12" s="9">
        <f>E12*G12</f>
        <v>170</v>
      </c>
      <c r="J12" s="48">
        <f>E12-B12</f>
        <v>50</v>
      </c>
      <c r="K12" s="49">
        <f t="shared" si="3"/>
        <v>100</v>
      </c>
    </row>
    <row r="13">
      <c r="A13" s="54" t="s">
        <v>19</v>
      </c>
      <c r="B13" s="56">
        <v>0.0</v>
      </c>
      <c r="C13" s="57">
        <f t="shared" si="1"/>
        <v>0</v>
      </c>
      <c r="D13" s="58">
        <v>115.0</v>
      </c>
      <c r="E13" s="59">
        <v>0.0</v>
      </c>
      <c r="F13" s="60">
        <v>0.0</v>
      </c>
      <c r="G13" s="60">
        <v>0.0</v>
      </c>
      <c r="H13" s="61">
        <f t="shared" si="2"/>
        <v>0</v>
      </c>
      <c r="I13" s="62">
        <f>D13*G13</f>
        <v>0</v>
      </c>
      <c r="J13" s="63">
        <f>D13-B13</f>
        <v>115</v>
      </c>
      <c r="K13" s="64">
        <f t="shared" si="3"/>
        <v>0</v>
      </c>
    </row>
    <row r="14">
      <c r="A14" s="65" t="s">
        <v>20</v>
      </c>
      <c r="B14" s="39">
        <v>0.0</v>
      </c>
      <c r="C14" s="8">
        <f t="shared" si="1"/>
        <v>0</v>
      </c>
      <c r="D14" s="11">
        <v>0.0</v>
      </c>
      <c r="E14" s="10">
        <v>100.0</v>
      </c>
      <c r="F14" s="11">
        <v>2.0</v>
      </c>
      <c r="G14" s="11">
        <v>2.0</v>
      </c>
      <c r="H14" s="9">
        <f t="shared" si="2"/>
        <v>0</v>
      </c>
      <c r="I14" s="9">
        <f>E14*G14</f>
        <v>200</v>
      </c>
      <c r="J14" s="48">
        <f>E14-B14</f>
        <v>100</v>
      </c>
      <c r="K14" s="49">
        <f t="shared" si="3"/>
        <v>200</v>
      </c>
    </row>
    <row r="15">
      <c r="A15" s="65" t="s">
        <v>20</v>
      </c>
      <c r="B15" s="33">
        <v>42.0</v>
      </c>
      <c r="C15" s="21">
        <f t="shared" si="1"/>
        <v>0</v>
      </c>
      <c r="D15" s="42">
        <v>129.0</v>
      </c>
      <c r="E15" s="36">
        <v>0.0</v>
      </c>
      <c r="F15" s="36">
        <v>0.0</v>
      </c>
      <c r="G15" s="36">
        <v>0.0</v>
      </c>
      <c r="H15" s="43">
        <f t="shared" si="2"/>
        <v>0</v>
      </c>
      <c r="I15" s="44">
        <f>D15*G15</f>
        <v>0</v>
      </c>
      <c r="J15" s="45">
        <f>D15-B15</f>
        <v>87</v>
      </c>
      <c r="K15" s="53">
        <f t="shared" si="3"/>
        <v>0</v>
      </c>
    </row>
    <row r="16">
      <c r="A16" s="66" t="s">
        <v>21</v>
      </c>
      <c r="B16" s="7">
        <v>51.0</v>
      </c>
      <c r="C16" s="8">
        <f t="shared" si="1"/>
        <v>102</v>
      </c>
      <c r="D16" s="11">
        <v>0.0</v>
      </c>
      <c r="E16" s="10">
        <v>118.0</v>
      </c>
      <c r="F16" s="11">
        <v>2.0</v>
      </c>
      <c r="G16" s="11">
        <v>2.0</v>
      </c>
      <c r="H16" s="9">
        <f t="shared" si="2"/>
        <v>0</v>
      </c>
      <c r="I16" s="9">
        <f>E16*G16</f>
        <v>236</v>
      </c>
      <c r="J16" s="48">
        <f>E16-B16</f>
        <v>67</v>
      </c>
      <c r="K16" s="49">
        <f t="shared" si="3"/>
        <v>134</v>
      </c>
    </row>
    <row r="17">
      <c r="A17" s="66" t="s">
        <v>21</v>
      </c>
      <c r="B17" s="56">
        <v>0.0</v>
      </c>
      <c r="C17" s="57">
        <f t="shared" si="1"/>
        <v>0</v>
      </c>
      <c r="D17" s="67">
        <v>139.0</v>
      </c>
      <c r="E17" s="59">
        <v>0.0</v>
      </c>
      <c r="F17" s="60">
        <v>0.0</v>
      </c>
      <c r="G17" s="60">
        <v>0.0</v>
      </c>
      <c r="H17" s="61">
        <f t="shared" si="2"/>
        <v>0</v>
      </c>
      <c r="I17" s="62">
        <f>D17*G17</f>
        <v>0</v>
      </c>
      <c r="J17" s="63">
        <f>D17-B17</f>
        <v>139</v>
      </c>
      <c r="K17" s="64">
        <f t="shared" si="3"/>
        <v>0</v>
      </c>
    </row>
    <row r="18">
      <c r="A18" s="68" t="s">
        <v>22</v>
      </c>
      <c r="B18" s="7">
        <v>53.0</v>
      </c>
      <c r="C18" s="8">
        <f t="shared" si="1"/>
        <v>53</v>
      </c>
      <c r="D18" s="11">
        <v>0.0</v>
      </c>
      <c r="E18" s="10">
        <v>126.0</v>
      </c>
      <c r="F18" s="11">
        <v>1.0</v>
      </c>
      <c r="G18" s="11">
        <v>1.0</v>
      </c>
      <c r="H18" s="9">
        <f t="shared" si="2"/>
        <v>0</v>
      </c>
      <c r="I18" s="9">
        <f>E18*G18</f>
        <v>126</v>
      </c>
      <c r="J18" s="48">
        <f>E18-B18</f>
        <v>73</v>
      </c>
      <c r="K18" s="49">
        <f t="shared" si="3"/>
        <v>73</v>
      </c>
    </row>
    <row r="19">
      <c r="A19" s="68" t="s">
        <v>22</v>
      </c>
      <c r="B19" s="55">
        <v>53.0</v>
      </c>
      <c r="C19" s="57">
        <f t="shared" si="1"/>
        <v>53</v>
      </c>
      <c r="D19" s="67">
        <v>149.0</v>
      </c>
      <c r="E19" s="60">
        <v>0.0</v>
      </c>
      <c r="F19" s="60">
        <v>1.0</v>
      </c>
      <c r="G19" s="60">
        <v>1.0</v>
      </c>
      <c r="H19" s="61">
        <f t="shared" si="2"/>
        <v>0</v>
      </c>
      <c r="I19" s="62">
        <f>D19*G19</f>
        <v>149</v>
      </c>
      <c r="J19" s="63">
        <f>D19-B19</f>
        <v>96</v>
      </c>
      <c r="K19" s="64">
        <f t="shared" si="3"/>
        <v>96</v>
      </c>
    </row>
    <row r="20">
      <c r="A20" s="69" t="s">
        <v>23</v>
      </c>
      <c r="B20" s="39">
        <v>42.0</v>
      </c>
      <c r="C20" s="8">
        <f t="shared" si="1"/>
        <v>84</v>
      </c>
      <c r="D20" s="11">
        <v>0.0</v>
      </c>
      <c r="E20" s="10">
        <v>106.0</v>
      </c>
      <c r="F20" s="11">
        <v>2.0</v>
      </c>
      <c r="G20" s="11">
        <v>2.0</v>
      </c>
      <c r="H20" s="9">
        <f t="shared" si="2"/>
        <v>0</v>
      </c>
      <c r="I20" s="9">
        <f>E20*G20</f>
        <v>212</v>
      </c>
      <c r="J20" s="48">
        <f>E20-B20</f>
        <v>64</v>
      </c>
      <c r="K20" s="49">
        <f t="shared" si="3"/>
        <v>128</v>
      </c>
    </row>
    <row r="21">
      <c r="A21" s="69" t="s">
        <v>23</v>
      </c>
      <c r="B21" s="33">
        <v>0.0</v>
      </c>
      <c r="C21" s="21">
        <f t="shared" si="1"/>
        <v>0</v>
      </c>
      <c r="D21" s="42">
        <v>125.0</v>
      </c>
      <c r="E21" s="36">
        <v>0.0</v>
      </c>
      <c r="F21" s="36">
        <v>0.0</v>
      </c>
      <c r="G21" s="36">
        <v>0.0</v>
      </c>
      <c r="H21" s="43">
        <f t="shared" si="2"/>
        <v>0</v>
      </c>
      <c r="I21" s="44">
        <f>D21*G21</f>
        <v>0</v>
      </c>
      <c r="J21" s="45">
        <f>D21-B21</f>
        <v>125</v>
      </c>
      <c r="K21" s="53">
        <f t="shared" si="3"/>
        <v>0</v>
      </c>
    </row>
    <row r="22">
      <c r="A22" s="70" t="s">
        <v>24</v>
      </c>
      <c r="B22" s="71">
        <f t="shared" ref="B22:I22" si="4">SUM(B2:B21)</f>
        <v>1055</v>
      </c>
      <c r="C22" s="72">
        <f t="shared" si="4"/>
        <v>1795</v>
      </c>
      <c r="D22" s="71">
        <f t="shared" si="4"/>
        <v>2046</v>
      </c>
      <c r="E22" s="71">
        <f t="shared" si="4"/>
        <v>1343</v>
      </c>
      <c r="F22" s="71">
        <f t="shared" si="4"/>
        <v>21</v>
      </c>
      <c r="G22" s="71">
        <f t="shared" si="4"/>
        <v>19</v>
      </c>
      <c r="H22" s="73">
        <f t="shared" si="4"/>
        <v>2</v>
      </c>
      <c r="I22" s="71">
        <f t="shared" si="4"/>
        <v>2711</v>
      </c>
      <c r="J22" s="74"/>
      <c r="K22" s="75">
        <f>SUM(K2:K21)</f>
        <v>1470</v>
      </c>
    </row>
    <row r="23">
      <c r="C23" s="76"/>
      <c r="D23" s="76"/>
      <c r="H23" s="76"/>
      <c r="I23" s="76"/>
    </row>
    <row r="28">
      <c r="E28" s="7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H26">
    <cfRule type="notContainsBlanks" dxfId="0" priority="1">
      <formula>LEN(TRIM(H26))&gt;0</formula>
    </cfRule>
  </conditionalFormatting>
  <conditionalFormatting sqref="H2:H22">
    <cfRule type="cellIs" dxfId="1" priority="2" operator="not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3.0"/>
    <col customWidth="1" min="3" max="3" width="7.14"/>
    <col customWidth="1" min="4" max="4" width="15.14"/>
    <col customWidth="1" min="5" max="5" width="12.43"/>
    <col customWidth="1" min="6" max="6" width="8.71"/>
    <col customWidth="1" min="7" max="8" width="9.14"/>
    <col customWidth="1" min="9" max="9" width="9.57"/>
    <col customWidth="1" min="10" max="10" width="10.29"/>
    <col customWidth="1" min="11" max="11" width="13.86"/>
    <col customWidth="1" min="12" max="29" width="8.71"/>
  </cols>
  <sheetData>
    <row r="1">
      <c r="A1" s="1" t="s">
        <v>0</v>
      </c>
      <c r="B1" s="78" t="s">
        <v>1</v>
      </c>
      <c r="C1" s="2" t="s">
        <v>2</v>
      </c>
      <c r="D1" s="7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8" t="s">
        <v>25</v>
      </c>
      <c r="J1" s="2" t="s">
        <v>9</v>
      </c>
      <c r="K1" s="79" t="s">
        <v>10</v>
      </c>
    </row>
    <row r="2">
      <c r="A2" s="80" t="s">
        <v>26</v>
      </c>
      <c r="B2" s="81">
        <v>252.0</v>
      </c>
      <c r="C2" s="82">
        <f t="shared" ref="C2:C39" si="1">B2*F2</f>
        <v>504</v>
      </c>
      <c r="D2" s="83"/>
      <c r="E2" s="84">
        <v>445.0</v>
      </c>
      <c r="F2" s="85">
        <v>2.0</v>
      </c>
      <c r="G2" s="83">
        <v>0.0</v>
      </c>
      <c r="H2" s="86">
        <f t="shared" ref="H2:H39" si="2">F2-G2</f>
        <v>2</v>
      </c>
      <c r="I2" s="86">
        <f>E2*G2</f>
        <v>0</v>
      </c>
      <c r="J2" s="48">
        <f>E2-B2</f>
        <v>193</v>
      </c>
      <c r="K2" s="87">
        <f t="shared" ref="K2:K39" si="3">J2*G2</f>
        <v>0</v>
      </c>
      <c r="L2" s="88" t="s">
        <v>27</v>
      </c>
      <c r="M2" s="89"/>
    </row>
    <row r="3">
      <c r="A3" s="80" t="s">
        <v>26</v>
      </c>
      <c r="B3" s="81">
        <v>252.0</v>
      </c>
      <c r="C3" s="90">
        <f t="shared" si="1"/>
        <v>0</v>
      </c>
      <c r="D3" s="91">
        <v>465.0</v>
      </c>
      <c r="E3" s="92"/>
      <c r="F3" s="93">
        <v>0.0</v>
      </c>
      <c r="G3" s="23">
        <v>0.0</v>
      </c>
      <c r="H3" s="44">
        <f t="shared" si="2"/>
        <v>0</v>
      </c>
      <c r="I3" s="44">
        <f>D3*G3</f>
        <v>0</v>
      </c>
      <c r="J3" s="94">
        <f>D3-B3</f>
        <v>213</v>
      </c>
      <c r="K3" s="46">
        <f t="shared" si="3"/>
        <v>0</v>
      </c>
    </row>
    <row r="4">
      <c r="A4" s="95" t="s">
        <v>28</v>
      </c>
      <c r="B4" s="81">
        <v>220.0</v>
      </c>
      <c r="C4" s="82">
        <f t="shared" si="1"/>
        <v>220</v>
      </c>
      <c r="D4" s="96"/>
      <c r="E4" s="84">
        <v>429.0</v>
      </c>
      <c r="F4" s="85">
        <v>1.0</v>
      </c>
      <c r="G4" s="83">
        <v>0.0</v>
      </c>
      <c r="H4" s="86">
        <f t="shared" si="2"/>
        <v>1</v>
      </c>
      <c r="I4" s="9">
        <f>E4*G4</f>
        <v>0</v>
      </c>
      <c r="J4" s="48">
        <f>E4-B4</f>
        <v>209</v>
      </c>
      <c r="K4" s="87">
        <f t="shared" si="3"/>
        <v>0</v>
      </c>
      <c r="L4" s="88" t="s">
        <v>27</v>
      </c>
      <c r="M4" s="89"/>
      <c r="N4" s="97"/>
    </row>
    <row r="5">
      <c r="A5" s="98" t="s">
        <v>28</v>
      </c>
      <c r="B5" s="81">
        <v>220.0</v>
      </c>
      <c r="C5" s="99">
        <f t="shared" si="1"/>
        <v>0</v>
      </c>
      <c r="D5" s="100">
        <v>449.0</v>
      </c>
      <c r="E5" s="101"/>
      <c r="F5" s="102">
        <v>0.0</v>
      </c>
      <c r="G5" s="60">
        <v>0.0</v>
      </c>
      <c r="H5" s="61">
        <f t="shared" si="2"/>
        <v>0</v>
      </c>
      <c r="I5" s="103">
        <f t="shared" ref="I5:I6" si="4">D5*G5</f>
        <v>0</v>
      </c>
      <c r="J5" s="104">
        <f t="shared" ref="J5:J6" si="5">D5-B5</f>
        <v>229</v>
      </c>
      <c r="K5" s="105">
        <f t="shared" si="3"/>
        <v>0</v>
      </c>
    </row>
    <row r="6">
      <c r="A6" s="106" t="s">
        <v>29</v>
      </c>
      <c r="B6" s="33">
        <v>74.0</v>
      </c>
      <c r="C6" s="107">
        <f t="shared" si="1"/>
        <v>0</v>
      </c>
      <c r="D6" s="91">
        <v>155.0</v>
      </c>
      <c r="E6" s="92"/>
      <c r="F6" s="108">
        <v>0.0</v>
      </c>
      <c r="G6" s="36">
        <v>0.0</v>
      </c>
      <c r="H6" s="43">
        <f t="shared" si="2"/>
        <v>0</v>
      </c>
      <c r="I6" s="44">
        <f t="shared" si="4"/>
        <v>0</v>
      </c>
      <c r="J6" s="94">
        <f t="shared" si="5"/>
        <v>81</v>
      </c>
      <c r="K6" s="53">
        <f t="shared" si="3"/>
        <v>0</v>
      </c>
      <c r="L6" s="77" t="s">
        <v>30</v>
      </c>
    </row>
    <row r="7">
      <c r="A7" s="29" t="s">
        <v>14</v>
      </c>
      <c r="B7" s="109">
        <v>63.0</v>
      </c>
      <c r="C7" s="110">
        <f t="shared" si="1"/>
        <v>63</v>
      </c>
      <c r="D7" s="111"/>
      <c r="E7" s="112">
        <v>129.0</v>
      </c>
      <c r="F7" s="113">
        <v>1.0</v>
      </c>
      <c r="G7" s="114">
        <v>1.0</v>
      </c>
      <c r="H7" s="103">
        <f t="shared" si="2"/>
        <v>0</v>
      </c>
      <c r="I7" s="103">
        <f>E7*G7</f>
        <v>129</v>
      </c>
      <c r="J7" s="74">
        <f>E7-B7</f>
        <v>66</v>
      </c>
      <c r="K7" s="115">
        <f t="shared" si="3"/>
        <v>66</v>
      </c>
    </row>
    <row r="8">
      <c r="A8" s="116" t="s">
        <v>14</v>
      </c>
      <c r="B8" s="109">
        <v>63.0</v>
      </c>
      <c r="C8" s="117">
        <f t="shared" si="1"/>
        <v>252</v>
      </c>
      <c r="D8" s="91">
        <v>140.0</v>
      </c>
      <c r="E8" s="92"/>
      <c r="F8" s="118">
        <v>4.0</v>
      </c>
      <c r="G8" s="119">
        <v>4.0</v>
      </c>
      <c r="H8" s="120">
        <f t="shared" si="2"/>
        <v>0</v>
      </c>
      <c r="I8" s="119">
        <f>D8*G8</f>
        <v>560</v>
      </c>
      <c r="J8" s="94">
        <f>D8-B8</f>
        <v>77</v>
      </c>
      <c r="K8" s="121">
        <f t="shared" si="3"/>
        <v>308</v>
      </c>
      <c r="L8" s="122" t="s">
        <v>31</v>
      </c>
      <c r="M8" s="123"/>
    </row>
    <row r="9">
      <c r="A9" s="124" t="s">
        <v>32</v>
      </c>
      <c r="B9" s="125">
        <v>149.0</v>
      </c>
      <c r="C9" s="82">
        <f t="shared" si="1"/>
        <v>298</v>
      </c>
      <c r="D9" s="126"/>
      <c r="E9" s="112">
        <v>270.0</v>
      </c>
      <c r="F9" s="127">
        <v>2.0</v>
      </c>
      <c r="G9" s="128">
        <v>0.0</v>
      </c>
      <c r="H9" s="103">
        <f t="shared" si="2"/>
        <v>2</v>
      </c>
      <c r="I9" s="129">
        <f>E9*G9</f>
        <v>0</v>
      </c>
      <c r="J9" s="74">
        <f>E9-B9</f>
        <v>121</v>
      </c>
      <c r="K9" s="130">
        <f t="shared" si="3"/>
        <v>0</v>
      </c>
      <c r="L9" s="88" t="s">
        <v>27</v>
      </c>
      <c r="M9" s="89"/>
    </row>
    <row r="10">
      <c r="A10" s="131" t="s">
        <v>32</v>
      </c>
      <c r="B10" s="125">
        <v>149.0</v>
      </c>
      <c r="C10" s="99">
        <f t="shared" si="1"/>
        <v>0</v>
      </c>
      <c r="D10" s="91">
        <v>280.0</v>
      </c>
      <c r="E10" s="92"/>
      <c r="F10" s="108">
        <v>0.0</v>
      </c>
      <c r="G10" s="36">
        <v>0.0</v>
      </c>
      <c r="H10" s="43">
        <f t="shared" si="2"/>
        <v>0</v>
      </c>
      <c r="I10" s="132">
        <f>D10*G10</f>
        <v>0</v>
      </c>
      <c r="J10" s="63">
        <f>D10-B10</f>
        <v>131</v>
      </c>
      <c r="K10" s="53">
        <f t="shared" si="3"/>
        <v>0</v>
      </c>
    </row>
    <row r="11">
      <c r="A11" s="133" t="s">
        <v>33</v>
      </c>
      <c r="B11" s="82">
        <v>149.0</v>
      </c>
      <c r="C11" s="82">
        <f t="shared" si="1"/>
        <v>149</v>
      </c>
      <c r="D11" s="134"/>
      <c r="E11" s="84">
        <v>270.0</v>
      </c>
      <c r="F11" s="85">
        <v>1.0</v>
      </c>
      <c r="G11" s="83">
        <v>0.0</v>
      </c>
      <c r="H11" s="9">
        <f t="shared" si="2"/>
        <v>1</v>
      </c>
      <c r="I11" s="86">
        <f>E11*G11</f>
        <v>0</v>
      </c>
      <c r="J11" s="48">
        <f>E11-B11</f>
        <v>121</v>
      </c>
      <c r="K11" s="87">
        <f t="shared" si="3"/>
        <v>0</v>
      </c>
      <c r="L11" s="135" t="s">
        <v>27</v>
      </c>
      <c r="M11" s="135"/>
    </row>
    <row r="12">
      <c r="A12" s="133" t="s">
        <v>33</v>
      </c>
      <c r="B12" s="82">
        <v>149.0</v>
      </c>
      <c r="C12" s="99">
        <f t="shared" si="1"/>
        <v>0</v>
      </c>
      <c r="D12" s="136">
        <v>280.0</v>
      </c>
      <c r="E12" s="92"/>
      <c r="F12" s="93">
        <v>0.0</v>
      </c>
      <c r="G12" s="51">
        <v>0.0</v>
      </c>
      <c r="H12" s="44">
        <f t="shared" si="2"/>
        <v>0</v>
      </c>
      <c r="I12" s="44">
        <f>D12*G12</f>
        <v>0</v>
      </c>
      <c r="J12" s="45">
        <f>D12-B12</f>
        <v>131</v>
      </c>
      <c r="K12" s="53">
        <f t="shared" si="3"/>
        <v>0</v>
      </c>
    </row>
    <row r="13">
      <c r="A13" s="137" t="s">
        <v>34</v>
      </c>
      <c r="B13" s="138">
        <v>51.0</v>
      </c>
      <c r="C13" s="110">
        <f t="shared" si="1"/>
        <v>102</v>
      </c>
      <c r="D13" s="139"/>
      <c r="E13" s="84">
        <v>119.0</v>
      </c>
      <c r="F13" s="140">
        <v>2.0</v>
      </c>
      <c r="G13" s="11">
        <v>2.0</v>
      </c>
      <c r="H13" s="9">
        <f t="shared" si="2"/>
        <v>0</v>
      </c>
      <c r="I13" s="40">
        <f>E13*G13</f>
        <v>238</v>
      </c>
      <c r="J13" s="48">
        <f>E13-B13</f>
        <v>68</v>
      </c>
      <c r="K13" s="141">
        <f t="shared" si="3"/>
        <v>136</v>
      </c>
    </row>
    <row r="14">
      <c r="A14" s="142" t="s">
        <v>34</v>
      </c>
      <c r="B14" s="143">
        <v>51.0</v>
      </c>
      <c r="C14" s="117">
        <f t="shared" si="1"/>
        <v>102</v>
      </c>
      <c r="D14" s="91">
        <v>140.0</v>
      </c>
      <c r="E14" s="92"/>
      <c r="F14" s="118">
        <v>2.0</v>
      </c>
      <c r="G14" s="119">
        <v>2.0</v>
      </c>
      <c r="H14" s="43">
        <f t="shared" si="2"/>
        <v>0</v>
      </c>
      <c r="I14" s="120">
        <f>D14*G14</f>
        <v>280</v>
      </c>
      <c r="J14" s="94">
        <f>D14-B14</f>
        <v>89</v>
      </c>
      <c r="K14" s="144">
        <f t="shared" si="3"/>
        <v>178</v>
      </c>
      <c r="L14" s="122" t="s">
        <v>31</v>
      </c>
      <c r="M14" s="123"/>
    </row>
    <row r="15">
      <c r="A15" s="137" t="s">
        <v>35</v>
      </c>
      <c r="B15" s="145">
        <v>58.0</v>
      </c>
      <c r="C15" s="110">
        <f t="shared" si="1"/>
        <v>58</v>
      </c>
      <c r="D15" s="139"/>
      <c r="E15" s="84">
        <v>119.0</v>
      </c>
      <c r="F15" s="140">
        <v>1.0</v>
      </c>
      <c r="G15" s="11">
        <v>1.0</v>
      </c>
      <c r="H15" s="9">
        <f t="shared" si="2"/>
        <v>0</v>
      </c>
      <c r="I15" s="9">
        <f>E15*G15</f>
        <v>119</v>
      </c>
      <c r="J15" s="146">
        <f>E15-B15</f>
        <v>61</v>
      </c>
      <c r="K15" s="115">
        <f t="shared" si="3"/>
        <v>61</v>
      </c>
    </row>
    <row r="16">
      <c r="A16" s="147" t="s">
        <v>35</v>
      </c>
      <c r="B16" s="145">
        <v>58.0</v>
      </c>
      <c r="C16" s="145">
        <f t="shared" si="1"/>
        <v>58</v>
      </c>
      <c r="D16" s="91">
        <v>135.0</v>
      </c>
      <c r="E16" s="92"/>
      <c r="F16" s="118">
        <v>1.0</v>
      </c>
      <c r="G16" s="119">
        <v>1.0</v>
      </c>
      <c r="H16" s="43">
        <f t="shared" si="2"/>
        <v>0</v>
      </c>
      <c r="I16" s="120">
        <f>D16*G16</f>
        <v>135</v>
      </c>
      <c r="J16" s="148">
        <f>D16-B16</f>
        <v>77</v>
      </c>
      <c r="K16" s="121">
        <f t="shared" si="3"/>
        <v>77</v>
      </c>
      <c r="L16" s="122" t="s">
        <v>31</v>
      </c>
      <c r="M16" s="123"/>
    </row>
    <row r="17">
      <c r="A17" s="149" t="s">
        <v>36</v>
      </c>
      <c r="B17" s="150">
        <v>31.0</v>
      </c>
      <c r="C17" s="151">
        <f t="shared" si="1"/>
        <v>0</v>
      </c>
      <c r="D17" s="152"/>
      <c r="E17" s="84">
        <v>69.0</v>
      </c>
      <c r="F17" s="153">
        <v>0.0</v>
      </c>
      <c r="G17" s="119">
        <v>0.0</v>
      </c>
      <c r="H17" s="43">
        <f t="shared" si="2"/>
        <v>0</v>
      </c>
      <c r="I17" s="120">
        <f>E17*G17</f>
        <v>0</v>
      </c>
      <c r="J17" s="148">
        <f>E17-B17</f>
        <v>38</v>
      </c>
      <c r="K17" s="121">
        <f t="shared" si="3"/>
        <v>0</v>
      </c>
      <c r="L17" s="154"/>
      <c r="M17" s="97"/>
    </row>
    <row r="18">
      <c r="A18" s="149" t="s">
        <v>36</v>
      </c>
      <c r="B18" s="150">
        <v>31.0</v>
      </c>
      <c r="C18" s="117">
        <f t="shared" si="1"/>
        <v>31</v>
      </c>
      <c r="D18" s="155">
        <v>75.0</v>
      </c>
      <c r="E18" s="156"/>
      <c r="F18" s="153">
        <v>1.0</v>
      </c>
      <c r="G18" s="119">
        <v>0.0</v>
      </c>
      <c r="H18" s="43">
        <f t="shared" si="2"/>
        <v>1</v>
      </c>
      <c r="I18" s="120">
        <f>D18*G18</f>
        <v>0</v>
      </c>
      <c r="J18" s="148">
        <f>D18-B18</f>
        <v>44</v>
      </c>
      <c r="K18" s="121">
        <f t="shared" si="3"/>
        <v>0</v>
      </c>
      <c r="L18" s="122" t="s">
        <v>31</v>
      </c>
      <c r="M18" s="123"/>
    </row>
    <row r="19">
      <c r="A19" s="157" t="s">
        <v>37</v>
      </c>
      <c r="B19" s="145">
        <v>31.0</v>
      </c>
      <c r="C19" s="110">
        <f t="shared" si="1"/>
        <v>0</v>
      </c>
      <c r="D19" s="158"/>
      <c r="E19" s="84">
        <v>79.0</v>
      </c>
      <c r="F19" s="140">
        <v>0.0</v>
      </c>
      <c r="G19" s="11">
        <v>0.0</v>
      </c>
      <c r="H19" s="9">
        <f t="shared" si="2"/>
        <v>0</v>
      </c>
      <c r="I19" s="9">
        <f>E19*G19</f>
        <v>0</v>
      </c>
      <c r="J19" s="48">
        <f>E19-B19</f>
        <v>48</v>
      </c>
      <c r="K19" s="49">
        <f t="shared" si="3"/>
        <v>0</v>
      </c>
      <c r="M19" s="97"/>
    </row>
    <row r="20">
      <c r="A20" s="159" t="s">
        <v>37</v>
      </c>
      <c r="B20" s="145">
        <v>31.0</v>
      </c>
      <c r="C20" s="145">
        <f t="shared" si="1"/>
        <v>155</v>
      </c>
      <c r="D20" s="91">
        <v>89.0</v>
      </c>
      <c r="E20" s="92"/>
      <c r="F20" s="118">
        <v>5.0</v>
      </c>
      <c r="G20" s="119">
        <v>0.0</v>
      </c>
      <c r="H20" s="160">
        <f t="shared" si="2"/>
        <v>5</v>
      </c>
      <c r="I20" s="120">
        <f t="shared" ref="I20:I21" si="6">D20*G20</f>
        <v>0</v>
      </c>
      <c r="J20" s="94">
        <f t="shared" ref="J20:J21" si="7">D20-B20</f>
        <v>58</v>
      </c>
      <c r="K20" s="121">
        <f t="shared" si="3"/>
        <v>0</v>
      </c>
      <c r="L20" s="122" t="s">
        <v>31</v>
      </c>
      <c r="M20" s="123"/>
    </row>
    <row r="21">
      <c r="A21" s="157" t="s">
        <v>38</v>
      </c>
      <c r="B21" s="145">
        <v>31.0</v>
      </c>
      <c r="C21" s="150">
        <f t="shared" si="1"/>
        <v>31</v>
      </c>
      <c r="D21" s="155">
        <v>89.0</v>
      </c>
      <c r="E21" s="156"/>
      <c r="F21" s="153">
        <v>1.0</v>
      </c>
      <c r="G21" s="161">
        <v>0.0</v>
      </c>
      <c r="H21" s="9">
        <f t="shared" si="2"/>
        <v>1</v>
      </c>
      <c r="I21" s="120">
        <f t="shared" si="6"/>
        <v>0</v>
      </c>
      <c r="J21" s="94">
        <f t="shared" si="7"/>
        <v>58</v>
      </c>
      <c r="K21" s="121">
        <f t="shared" si="3"/>
        <v>0</v>
      </c>
      <c r="L21" s="154"/>
      <c r="M21" s="97"/>
      <c r="O21" s="77">
        <v>1.0</v>
      </c>
    </row>
    <row r="22">
      <c r="A22" s="124" t="s">
        <v>39</v>
      </c>
      <c r="B22" s="145">
        <v>21.0</v>
      </c>
      <c r="C22" s="110">
        <f t="shared" si="1"/>
        <v>0</v>
      </c>
      <c r="D22" s="139"/>
      <c r="E22" s="84">
        <v>39.0</v>
      </c>
      <c r="F22" s="140">
        <v>0.0</v>
      </c>
      <c r="G22" s="11">
        <v>0.0</v>
      </c>
      <c r="H22" s="9">
        <f t="shared" si="2"/>
        <v>0</v>
      </c>
      <c r="I22" s="9">
        <f>E22*G22</f>
        <v>0</v>
      </c>
      <c r="J22" s="48">
        <f>E22-B22</f>
        <v>18</v>
      </c>
      <c r="K22" s="162">
        <f t="shared" si="3"/>
        <v>0</v>
      </c>
    </row>
    <row r="23">
      <c r="A23" s="163" t="s">
        <v>40</v>
      </c>
      <c r="B23" s="145">
        <v>21.0</v>
      </c>
      <c r="C23" s="117">
        <f t="shared" si="1"/>
        <v>42</v>
      </c>
      <c r="D23" s="91">
        <v>49.0</v>
      </c>
      <c r="E23" s="92"/>
      <c r="F23" s="118">
        <v>2.0</v>
      </c>
      <c r="G23" s="119">
        <v>0.0</v>
      </c>
      <c r="H23" s="43">
        <f t="shared" si="2"/>
        <v>2</v>
      </c>
      <c r="I23" s="160">
        <f>D23*G23</f>
        <v>0</v>
      </c>
      <c r="J23" s="94">
        <f>D23-B23</f>
        <v>28</v>
      </c>
      <c r="K23" s="164">
        <f t="shared" si="3"/>
        <v>0</v>
      </c>
      <c r="L23" s="122" t="s">
        <v>31</v>
      </c>
      <c r="M23" s="123"/>
    </row>
    <row r="24">
      <c r="A24" s="165" t="s">
        <v>41</v>
      </c>
      <c r="B24" s="117">
        <v>14.0</v>
      </c>
      <c r="C24" s="110">
        <f t="shared" si="1"/>
        <v>0</v>
      </c>
      <c r="D24" s="139"/>
      <c r="E24" s="84">
        <v>35.0</v>
      </c>
      <c r="F24" s="140">
        <v>0.0</v>
      </c>
      <c r="G24" s="11">
        <v>0.0</v>
      </c>
      <c r="H24" s="9">
        <f t="shared" si="2"/>
        <v>0</v>
      </c>
      <c r="I24" s="9">
        <f>E24*G24</f>
        <v>0</v>
      </c>
      <c r="J24" s="48">
        <f>E24-B24</f>
        <v>21</v>
      </c>
      <c r="K24" s="162">
        <f t="shared" si="3"/>
        <v>0</v>
      </c>
    </row>
    <row r="25">
      <c r="A25" s="166" t="s">
        <v>41</v>
      </c>
      <c r="B25" s="117">
        <v>14.0</v>
      </c>
      <c r="C25" s="117">
        <f t="shared" si="1"/>
        <v>28</v>
      </c>
      <c r="D25" s="91">
        <v>45.0</v>
      </c>
      <c r="E25" s="92"/>
      <c r="F25" s="118">
        <v>2.0</v>
      </c>
      <c r="G25" s="119">
        <v>0.0</v>
      </c>
      <c r="H25" s="43">
        <f t="shared" si="2"/>
        <v>2</v>
      </c>
      <c r="I25" s="120">
        <f>D25*G25</f>
        <v>0</v>
      </c>
      <c r="J25" s="94">
        <f>D25-B25</f>
        <v>31</v>
      </c>
      <c r="K25" s="121">
        <f t="shared" si="3"/>
        <v>0</v>
      </c>
      <c r="L25" s="122" t="s">
        <v>31</v>
      </c>
      <c r="M25" s="123"/>
    </row>
    <row r="26">
      <c r="A26" s="166" t="s">
        <v>42</v>
      </c>
      <c r="B26" s="117">
        <v>14.0</v>
      </c>
      <c r="C26" s="99">
        <f t="shared" si="1"/>
        <v>0</v>
      </c>
      <c r="D26" s="152"/>
      <c r="E26" s="84">
        <v>35.0</v>
      </c>
      <c r="F26" s="153">
        <v>0.0</v>
      </c>
      <c r="G26" s="167">
        <v>0.0</v>
      </c>
      <c r="H26" s="61">
        <f t="shared" si="2"/>
        <v>0</v>
      </c>
      <c r="I26" s="168">
        <f>E26*G26</f>
        <v>0</v>
      </c>
      <c r="J26" s="169">
        <f>E26-B26</f>
        <v>21</v>
      </c>
      <c r="K26" s="170">
        <f t="shared" si="3"/>
        <v>0</v>
      </c>
      <c r="L26" s="154"/>
      <c r="M26" s="97"/>
    </row>
    <row r="27">
      <c r="A27" s="166" t="s">
        <v>42</v>
      </c>
      <c r="B27" s="117">
        <v>14.0</v>
      </c>
      <c r="C27" s="117">
        <f t="shared" si="1"/>
        <v>28</v>
      </c>
      <c r="D27" s="100">
        <v>45.0</v>
      </c>
      <c r="E27" s="101"/>
      <c r="F27" s="171">
        <v>2.0</v>
      </c>
      <c r="G27" s="119">
        <v>0.0</v>
      </c>
      <c r="H27" s="43">
        <f t="shared" si="2"/>
        <v>2</v>
      </c>
      <c r="I27" s="120">
        <f>D27*G27</f>
        <v>0</v>
      </c>
      <c r="J27" s="94">
        <f>D27-B27</f>
        <v>31</v>
      </c>
      <c r="K27" s="121">
        <f t="shared" si="3"/>
        <v>0</v>
      </c>
      <c r="L27" s="122" t="s">
        <v>31</v>
      </c>
      <c r="M27" s="123"/>
    </row>
    <row r="28">
      <c r="A28" s="172" t="s">
        <v>43</v>
      </c>
      <c r="B28" s="173">
        <v>21.0</v>
      </c>
      <c r="C28" s="110">
        <f t="shared" si="1"/>
        <v>0</v>
      </c>
      <c r="D28" s="139"/>
      <c r="E28" s="84">
        <v>79.0</v>
      </c>
      <c r="F28" s="140">
        <v>0.0</v>
      </c>
      <c r="G28" s="11">
        <v>0.0</v>
      </c>
      <c r="H28" s="9">
        <f t="shared" si="2"/>
        <v>0</v>
      </c>
      <c r="I28" s="9">
        <f>E28*G28</f>
        <v>0</v>
      </c>
      <c r="J28" s="48">
        <f>E28-B28</f>
        <v>58</v>
      </c>
      <c r="K28" s="162">
        <f t="shared" si="3"/>
        <v>0</v>
      </c>
    </row>
    <row r="29">
      <c r="A29" s="174" t="s">
        <v>43</v>
      </c>
      <c r="B29" s="173">
        <v>21.0</v>
      </c>
      <c r="C29" s="117">
        <f t="shared" si="1"/>
        <v>42</v>
      </c>
      <c r="D29" s="100">
        <v>89.0</v>
      </c>
      <c r="E29" s="101"/>
      <c r="F29" s="171">
        <v>2.0</v>
      </c>
      <c r="G29" s="175">
        <v>0.0</v>
      </c>
      <c r="H29" s="61">
        <f t="shared" si="2"/>
        <v>2</v>
      </c>
      <c r="I29" s="176">
        <f>D29*G29</f>
        <v>0</v>
      </c>
      <c r="J29" s="169">
        <f>D29-B29</f>
        <v>68</v>
      </c>
      <c r="K29" s="121">
        <f t="shared" si="3"/>
        <v>0</v>
      </c>
      <c r="L29" s="122" t="s">
        <v>31</v>
      </c>
      <c r="M29" s="123"/>
    </row>
    <row r="30">
      <c r="A30" s="177" t="s">
        <v>44</v>
      </c>
      <c r="B30" s="173">
        <v>35.0</v>
      </c>
      <c r="C30" s="110">
        <f t="shared" si="1"/>
        <v>0</v>
      </c>
      <c r="D30" s="178"/>
      <c r="E30" s="84">
        <v>79.0</v>
      </c>
      <c r="F30" s="179"/>
      <c r="G30" s="11">
        <v>0.0</v>
      </c>
      <c r="H30" s="180">
        <f t="shared" si="2"/>
        <v>0</v>
      </c>
      <c r="I30" s="9">
        <f>E30*G30</f>
        <v>0</v>
      </c>
      <c r="J30" s="181">
        <f>E30-B30</f>
        <v>44</v>
      </c>
      <c r="K30" s="162">
        <f t="shared" si="3"/>
        <v>0</v>
      </c>
      <c r="L30" s="154"/>
      <c r="M30" s="97"/>
    </row>
    <row r="31">
      <c r="A31" s="182" t="s">
        <v>44</v>
      </c>
      <c r="B31" s="173">
        <v>35.0</v>
      </c>
      <c r="C31" s="117">
        <f t="shared" si="1"/>
        <v>70</v>
      </c>
      <c r="D31" s="100">
        <v>85.0</v>
      </c>
      <c r="E31" s="101"/>
      <c r="F31" s="171">
        <v>2.0</v>
      </c>
      <c r="G31" s="175">
        <v>0.0</v>
      </c>
      <c r="H31" s="43">
        <f t="shared" si="2"/>
        <v>2</v>
      </c>
      <c r="I31" s="176">
        <f>D31*G31</f>
        <v>0</v>
      </c>
      <c r="J31" s="94">
        <f>D31-B31</f>
        <v>50</v>
      </c>
      <c r="K31" s="121">
        <f t="shared" si="3"/>
        <v>0</v>
      </c>
      <c r="L31" s="122" t="s">
        <v>31</v>
      </c>
      <c r="M31" s="123"/>
    </row>
    <row r="32">
      <c r="A32" s="183" t="s">
        <v>45</v>
      </c>
      <c r="B32" s="184">
        <v>21.0</v>
      </c>
      <c r="C32" s="110">
        <f t="shared" si="1"/>
        <v>0</v>
      </c>
      <c r="D32" s="178"/>
      <c r="E32" s="84">
        <v>49.0</v>
      </c>
      <c r="F32" s="179"/>
      <c r="G32" s="11">
        <v>0.0</v>
      </c>
      <c r="H32" s="180">
        <f t="shared" si="2"/>
        <v>0</v>
      </c>
      <c r="I32" s="9">
        <f>E32*G32</f>
        <v>0</v>
      </c>
      <c r="J32" s="181">
        <f>E32-B32</f>
        <v>28</v>
      </c>
      <c r="K32" s="162">
        <f t="shared" si="3"/>
        <v>0</v>
      </c>
      <c r="L32" s="154"/>
      <c r="M32" s="97"/>
    </row>
    <row r="33">
      <c r="A33" s="185" t="s">
        <v>45</v>
      </c>
      <c r="B33" s="184">
        <v>21.0</v>
      </c>
      <c r="C33" s="117">
        <f t="shared" si="1"/>
        <v>42</v>
      </c>
      <c r="D33" s="91">
        <v>59.0</v>
      </c>
      <c r="E33" s="92"/>
      <c r="F33" s="118">
        <v>2.0</v>
      </c>
      <c r="G33" s="175">
        <v>0.0</v>
      </c>
      <c r="H33" s="120">
        <f t="shared" si="2"/>
        <v>2</v>
      </c>
      <c r="I33" s="168">
        <f>D33*G33</f>
        <v>0</v>
      </c>
      <c r="J33" s="94">
        <f>D33-B33</f>
        <v>38</v>
      </c>
      <c r="K33" s="121">
        <f t="shared" si="3"/>
        <v>0</v>
      </c>
      <c r="L33" s="122" t="s">
        <v>31</v>
      </c>
      <c r="M33" s="123"/>
    </row>
    <row r="34">
      <c r="A34" s="172" t="s">
        <v>46</v>
      </c>
      <c r="B34" s="186">
        <v>21.0</v>
      </c>
      <c r="C34" s="110">
        <f t="shared" si="1"/>
        <v>0</v>
      </c>
      <c r="D34" s="178"/>
      <c r="E34" s="84">
        <v>39.0</v>
      </c>
      <c r="F34" s="179"/>
      <c r="G34" s="11">
        <v>0.0</v>
      </c>
      <c r="H34" s="62">
        <f t="shared" si="2"/>
        <v>0</v>
      </c>
      <c r="I34" s="9">
        <f>E34*G34</f>
        <v>0</v>
      </c>
      <c r="J34" s="181">
        <f>E34-B34</f>
        <v>18</v>
      </c>
      <c r="K34" s="162">
        <f t="shared" si="3"/>
        <v>0</v>
      </c>
      <c r="L34" s="154"/>
      <c r="M34" s="97"/>
    </row>
    <row r="35">
      <c r="A35" s="172" t="s">
        <v>46</v>
      </c>
      <c r="B35" s="186">
        <v>21.0</v>
      </c>
      <c r="C35" s="173">
        <f t="shared" si="1"/>
        <v>42</v>
      </c>
      <c r="D35" s="100">
        <v>49.0</v>
      </c>
      <c r="E35" s="101"/>
      <c r="F35" s="171">
        <v>2.0</v>
      </c>
      <c r="G35" s="167">
        <v>0.0</v>
      </c>
      <c r="H35" s="168">
        <f t="shared" si="2"/>
        <v>2</v>
      </c>
      <c r="I35" s="168">
        <f>D35*G35</f>
        <v>0</v>
      </c>
      <c r="J35" s="169">
        <f>D35-B35</f>
        <v>28</v>
      </c>
      <c r="K35" s="170">
        <f t="shared" si="3"/>
        <v>0</v>
      </c>
      <c r="L35" s="122" t="s">
        <v>31</v>
      </c>
      <c r="M35" s="123"/>
    </row>
    <row r="36">
      <c r="A36" s="187" t="s">
        <v>47</v>
      </c>
      <c r="B36" s="171">
        <v>21.0</v>
      </c>
      <c r="C36" s="188">
        <f t="shared" si="1"/>
        <v>0</v>
      </c>
      <c r="D36" s="178"/>
      <c r="E36" s="84">
        <v>60.0</v>
      </c>
      <c r="F36" s="189"/>
      <c r="G36" s="190">
        <v>0.0</v>
      </c>
      <c r="H36" s="191">
        <f t="shared" si="2"/>
        <v>0</v>
      </c>
      <c r="I36" s="191">
        <f>E36*G36</f>
        <v>0</v>
      </c>
      <c r="J36" s="181">
        <f>E36-B36</f>
        <v>39</v>
      </c>
      <c r="K36" s="192">
        <f t="shared" si="3"/>
        <v>0</v>
      </c>
      <c r="L36" s="154"/>
      <c r="M36" s="97"/>
    </row>
    <row r="37">
      <c r="A37" s="187" t="s">
        <v>47</v>
      </c>
      <c r="B37" s="171">
        <v>21.0</v>
      </c>
      <c r="C37" s="171">
        <f t="shared" si="1"/>
        <v>42</v>
      </c>
      <c r="D37" s="100">
        <v>70.0</v>
      </c>
      <c r="E37" s="171"/>
      <c r="F37" s="171">
        <v>2.0</v>
      </c>
      <c r="G37" s="171">
        <v>0.0</v>
      </c>
      <c r="H37" s="168">
        <f t="shared" si="2"/>
        <v>2</v>
      </c>
      <c r="I37" s="171">
        <f>D37*G37</f>
        <v>0</v>
      </c>
      <c r="J37" s="193">
        <f>D37-B37</f>
        <v>49</v>
      </c>
      <c r="K37" s="171">
        <f t="shared" si="3"/>
        <v>0</v>
      </c>
      <c r="L37" s="122" t="s">
        <v>31</v>
      </c>
      <c r="M37" s="123"/>
    </row>
    <row r="38">
      <c r="A38" s="194" t="s">
        <v>48</v>
      </c>
      <c r="B38" s="171">
        <v>21.0</v>
      </c>
      <c r="C38" s="188">
        <f t="shared" si="1"/>
        <v>0</v>
      </c>
      <c r="D38" s="178"/>
      <c r="E38" s="84">
        <v>60.0</v>
      </c>
      <c r="F38" s="189"/>
      <c r="G38" s="190">
        <v>0.0</v>
      </c>
      <c r="H38" s="191">
        <f t="shared" si="2"/>
        <v>0</v>
      </c>
      <c r="I38" s="191">
        <f>E38*G38</f>
        <v>0</v>
      </c>
      <c r="J38" s="181">
        <f>E38-B38</f>
        <v>39</v>
      </c>
      <c r="K38" s="192">
        <f t="shared" si="3"/>
        <v>0</v>
      </c>
      <c r="L38" s="97"/>
      <c r="M38" s="97"/>
    </row>
    <row r="39">
      <c r="A39" s="194" t="s">
        <v>48</v>
      </c>
      <c r="B39" s="171">
        <v>21.0</v>
      </c>
      <c r="C39" s="171">
        <f t="shared" si="1"/>
        <v>42</v>
      </c>
      <c r="D39" s="100">
        <v>60.0</v>
      </c>
      <c r="E39" s="171"/>
      <c r="F39" s="171">
        <v>2.0</v>
      </c>
      <c r="G39" s="171">
        <v>0.0</v>
      </c>
      <c r="H39" s="168">
        <f t="shared" si="2"/>
        <v>2</v>
      </c>
      <c r="I39" s="171">
        <f>D39*G39</f>
        <v>0</v>
      </c>
      <c r="J39" s="193">
        <f>D39-B39</f>
        <v>39</v>
      </c>
      <c r="K39" s="171">
        <f t="shared" si="3"/>
        <v>0</v>
      </c>
      <c r="L39" s="122" t="s">
        <v>31</v>
      </c>
      <c r="M39" s="123"/>
    </row>
    <row r="40">
      <c r="A40" s="195" t="s">
        <v>24</v>
      </c>
      <c r="B40" s="196">
        <f t="shared" ref="B40:I40" si="8">SUM(B2:B39)</f>
        <v>2491</v>
      </c>
      <c r="C40" s="197">
        <f t="shared" si="8"/>
        <v>2401</v>
      </c>
      <c r="D40" s="198">
        <f t="shared" si="8"/>
        <v>2848</v>
      </c>
      <c r="E40" s="198">
        <f t="shared" si="8"/>
        <v>2404</v>
      </c>
      <c r="F40" s="199">
        <f t="shared" si="8"/>
        <v>42</v>
      </c>
      <c r="G40" s="200">
        <f t="shared" si="8"/>
        <v>11</v>
      </c>
      <c r="H40" s="200">
        <f t="shared" si="8"/>
        <v>31</v>
      </c>
      <c r="I40" s="201">
        <f t="shared" si="8"/>
        <v>1461</v>
      </c>
      <c r="J40" s="202"/>
      <c r="K40" s="203">
        <f>SUM(K2:K39)</f>
        <v>826</v>
      </c>
      <c r="M40" s="17"/>
    </row>
    <row r="41">
      <c r="H41" s="204"/>
    </row>
    <row r="42">
      <c r="H42" s="97"/>
    </row>
    <row r="43">
      <c r="A43" s="205" t="s">
        <v>49</v>
      </c>
      <c r="B43" s="206" t="s">
        <v>47</v>
      </c>
      <c r="C43" s="206" t="s">
        <v>50</v>
      </c>
      <c r="D43" s="207" t="s">
        <v>48</v>
      </c>
      <c r="E43" s="207" t="s">
        <v>51</v>
      </c>
      <c r="H43" s="208" t="s">
        <v>41</v>
      </c>
      <c r="I43" s="209"/>
      <c r="J43" s="208" t="s">
        <v>52</v>
      </c>
      <c r="K43" s="209"/>
      <c r="L43" s="208" t="s">
        <v>53</v>
      </c>
      <c r="M43" s="209"/>
    </row>
    <row r="44">
      <c r="B44" s="210"/>
      <c r="C44" s="210"/>
      <c r="D44" s="210"/>
      <c r="E44" s="210"/>
      <c r="H44" s="211"/>
      <c r="I44" s="212"/>
      <c r="J44" s="211"/>
      <c r="K44" s="212"/>
      <c r="L44" s="211"/>
      <c r="M44" s="212"/>
    </row>
    <row r="47">
      <c r="A47" s="213" t="s">
        <v>54</v>
      </c>
      <c r="B47" s="214" t="s">
        <v>55</v>
      </c>
      <c r="C47" s="215"/>
      <c r="D47" s="215"/>
      <c r="E47" s="215"/>
      <c r="F47" s="215"/>
      <c r="G47" s="215"/>
      <c r="H47" s="215"/>
      <c r="I47" s="215"/>
      <c r="J47" s="215"/>
      <c r="K47" s="215"/>
      <c r="L47" s="216"/>
    </row>
    <row r="48">
      <c r="E48" s="217" t="s">
        <v>56</v>
      </c>
      <c r="F48" s="218"/>
    </row>
    <row r="50">
      <c r="E50" s="77" t="s">
        <v>57</v>
      </c>
    </row>
    <row r="51" ht="15.75" customHeight="1"/>
    <row r="52" ht="15.75" customHeight="1"/>
    <row r="53" ht="15.75" customHeight="1"/>
    <row r="54" ht="15.75" customHeight="1"/>
    <row r="55" ht="15.75" customHeight="1">
      <c r="B55" s="183" t="s">
        <v>58</v>
      </c>
      <c r="C55" s="219"/>
      <c r="D55" s="219"/>
      <c r="E55" s="16" t="s">
        <v>59</v>
      </c>
      <c r="F55" s="1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7">
    <mergeCell ref="B43:B44"/>
    <mergeCell ref="C43:C44"/>
    <mergeCell ref="D43:D44"/>
    <mergeCell ref="E43:E44"/>
    <mergeCell ref="H43:I44"/>
    <mergeCell ref="J43:K44"/>
    <mergeCell ref="L43:M44"/>
  </mergeCells>
  <conditionalFormatting sqref="F43:G44 H46">
    <cfRule type="notContainsBlanks" dxfId="0" priority="1">
      <formula>LEN(TRIM(F43))&gt;0</formula>
    </cfRule>
  </conditionalFormatting>
  <conditionalFormatting sqref="H2:H42">
    <cfRule type="cellIs" dxfId="1" priority="2" operator="notEqual">
      <formula>0</formula>
    </cfRule>
  </conditionalFormatting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9.71"/>
    <col customWidth="1" min="3" max="3" width="7.14"/>
    <col customWidth="1" min="4" max="4" width="15.14"/>
    <col customWidth="1" min="5" max="5" width="12.43"/>
    <col customWidth="1" min="6" max="6" width="8.71"/>
    <col customWidth="1" min="7" max="8" width="9.14"/>
    <col customWidth="1" min="9" max="9" width="10.0"/>
    <col customWidth="1" min="10" max="10" width="8.57"/>
    <col customWidth="1" min="11" max="11" width="13.86"/>
    <col customWidth="1" min="12" max="29" width="8.71"/>
  </cols>
  <sheetData>
    <row r="1">
      <c r="A1" s="1" t="s">
        <v>0</v>
      </c>
      <c r="B1" s="78" t="s">
        <v>1</v>
      </c>
      <c r="C1" s="2" t="s">
        <v>2</v>
      </c>
      <c r="D1" s="7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8" t="s">
        <v>25</v>
      </c>
      <c r="J1" s="2" t="s">
        <v>9</v>
      </c>
      <c r="K1" s="79" t="s">
        <v>10</v>
      </c>
    </row>
    <row r="2">
      <c r="A2" s="220" t="s">
        <v>60</v>
      </c>
      <c r="B2" s="221">
        <v>0.0</v>
      </c>
      <c r="C2" s="110">
        <f t="shared" ref="C2:C15" si="1">B2*F2</f>
        <v>0</v>
      </c>
      <c r="D2" s="222"/>
      <c r="E2" s="84">
        <v>80.0</v>
      </c>
      <c r="F2" s="179">
        <v>0.0</v>
      </c>
      <c r="G2" s="222">
        <v>0.0</v>
      </c>
      <c r="H2" s="40">
        <f t="shared" ref="H2:H15" si="2">F2-G2</f>
        <v>0</v>
      </c>
      <c r="I2" s="40">
        <f>E2*G2</f>
        <v>0</v>
      </c>
      <c r="J2" s="48">
        <f>E2-B2</f>
        <v>80</v>
      </c>
      <c r="K2" s="223">
        <f t="shared" ref="K2:K15" si="3">J2*G2</f>
        <v>0</v>
      </c>
      <c r="L2" s="154"/>
      <c r="M2" s="97"/>
    </row>
    <row r="3">
      <c r="A3" s="220" t="s">
        <v>60</v>
      </c>
      <c r="B3" s="184">
        <v>31.0</v>
      </c>
      <c r="C3" s="117">
        <f t="shared" si="1"/>
        <v>248</v>
      </c>
      <c r="D3" s="91">
        <v>90.0</v>
      </c>
      <c r="E3" s="92"/>
      <c r="F3" s="224">
        <v>8.0</v>
      </c>
      <c r="G3" s="225">
        <v>0.0</v>
      </c>
      <c r="H3" s="44">
        <f t="shared" si="2"/>
        <v>8</v>
      </c>
      <c r="I3" s="226">
        <f>D3*G3</f>
        <v>0</v>
      </c>
      <c r="J3" s="94">
        <f>D3-B3</f>
        <v>59</v>
      </c>
      <c r="K3" s="227">
        <f t="shared" si="3"/>
        <v>0</v>
      </c>
      <c r="L3" s="97"/>
    </row>
    <row r="4">
      <c r="A4" s="228" t="s">
        <v>61</v>
      </c>
      <c r="B4" s="110">
        <v>0.0</v>
      </c>
      <c r="C4" s="110">
        <f t="shared" si="1"/>
        <v>0</v>
      </c>
      <c r="D4" s="178"/>
      <c r="E4" s="84">
        <v>159.0</v>
      </c>
      <c r="F4" s="179">
        <v>0.0</v>
      </c>
      <c r="G4" s="222">
        <v>0.0</v>
      </c>
      <c r="H4" s="40">
        <f t="shared" si="2"/>
        <v>0</v>
      </c>
      <c r="I4" s="44">
        <f>E4*G4</f>
        <v>0</v>
      </c>
      <c r="J4" s="48">
        <f>E4-B4</f>
        <v>159</v>
      </c>
      <c r="K4" s="223">
        <f t="shared" si="3"/>
        <v>0</v>
      </c>
      <c r="L4" s="154"/>
      <c r="M4" s="97"/>
      <c r="N4" s="97"/>
    </row>
    <row r="5">
      <c r="A5" s="228" t="s">
        <v>61</v>
      </c>
      <c r="B5" s="229">
        <v>84.0</v>
      </c>
      <c r="C5" s="117">
        <f t="shared" si="1"/>
        <v>84</v>
      </c>
      <c r="D5" s="91">
        <v>170.0</v>
      </c>
      <c r="E5" s="92"/>
      <c r="F5" s="118">
        <v>1.0</v>
      </c>
      <c r="G5" s="119">
        <v>0.0</v>
      </c>
      <c r="H5" s="43">
        <f t="shared" si="2"/>
        <v>1</v>
      </c>
      <c r="I5" s="226">
        <f>D5*G5</f>
        <v>0</v>
      </c>
      <c r="J5" s="94">
        <f>D5-B5</f>
        <v>86</v>
      </c>
      <c r="K5" s="121">
        <f t="shared" si="3"/>
        <v>0</v>
      </c>
    </row>
    <row r="6">
      <c r="A6" s="230" t="s">
        <v>62</v>
      </c>
      <c r="B6" s="231">
        <v>0.0</v>
      </c>
      <c r="C6" s="110">
        <f t="shared" si="1"/>
        <v>0</v>
      </c>
      <c r="D6" s="111"/>
      <c r="E6" s="112">
        <v>239.0</v>
      </c>
      <c r="F6" s="113">
        <v>0.0</v>
      </c>
      <c r="G6" s="114">
        <v>0.0</v>
      </c>
      <c r="H6" s="103">
        <f t="shared" si="2"/>
        <v>0</v>
      </c>
      <c r="I6" s="44">
        <f>E6*G6</f>
        <v>0</v>
      </c>
      <c r="J6" s="74">
        <f>E6-B6</f>
        <v>239</v>
      </c>
      <c r="K6" s="115">
        <f t="shared" si="3"/>
        <v>0</v>
      </c>
    </row>
    <row r="7">
      <c r="A7" s="230" t="s">
        <v>62</v>
      </c>
      <c r="B7" s="109">
        <v>126.0</v>
      </c>
      <c r="C7" s="117">
        <f t="shared" si="1"/>
        <v>126</v>
      </c>
      <c r="D7" s="91">
        <v>255.0</v>
      </c>
      <c r="E7" s="92"/>
      <c r="F7" s="118">
        <v>1.0</v>
      </c>
      <c r="G7" s="119">
        <v>0.0</v>
      </c>
      <c r="H7" s="120">
        <f t="shared" si="2"/>
        <v>1</v>
      </c>
      <c r="I7" s="44">
        <f>D7*G7</f>
        <v>0</v>
      </c>
      <c r="J7" s="94">
        <f>D7-B7</f>
        <v>129</v>
      </c>
      <c r="K7" s="121">
        <f t="shared" si="3"/>
        <v>0</v>
      </c>
      <c r="L7" s="122"/>
      <c r="M7" s="123"/>
    </row>
    <row r="8">
      <c r="A8" s="124" t="s">
        <v>63</v>
      </c>
      <c r="B8" s="151"/>
      <c r="C8" s="110">
        <f t="shared" si="1"/>
        <v>0</v>
      </c>
      <c r="D8" s="126"/>
      <c r="E8" s="112">
        <v>79.0</v>
      </c>
      <c r="F8" s="232">
        <v>0.0</v>
      </c>
      <c r="G8" s="233">
        <v>0.0</v>
      </c>
      <c r="H8" s="103">
        <f t="shared" si="2"/>
        <v>0</v>
      </c>
      <c r="I8" s="44">
        <f>E8*G8</f>
        <v>0</v>
      </c>
      <c r="J8" s="74">
        <f>E8-B8</f>
        <v>79</v>
      </c>
      <c r="K8" s="234">
        <f t="shared" si="3"/>
        <v>0</v>
      </c>
      <c r="L8" s="154"/>
      <c r="M8" s="154"/>
    </row>
    <row r="9">
      <c r="A9" s="124" t="s">
        <v>64</v>
      </c>
      <c r="B9" s="145">
        <v>39.0</v>
      </c>
      <c r="C9" s="117">
        <f t="shared" si="1"/>
        <v>117</v>
      </c>
      <c r="D9" s="91">
        <v>89.0</v>
      </c>
      <c r="E9" s="92"/>
      <c r="F9" s="118">
        <v>3.0</v>
      </c>
      <c r="G9" s="119">
        <v>0.0</v>
      </c>
      <c r="H9" s="43">
        <f t="shared" si="2"/>
        <v>3</v>
      </c>
      <c r="I9" s="235">
        <f>D9*G9</f>
        <v>0</v>
      </c>
      <c r="J9" s="63">
        <f>D9-B9</f>
        <v>50</v>
      </c>
      <c r="K9" s="121">
        <f t="shared" si="3"/>
        <v>0</v>
      </c>
      <c r="L9" s="97"/>
      <c r="M9" s="97"/>
    </row>
    <row r="10">
      <c r="A10" s="124" t="s">
        <v>65</v>
      </c>
      <c r="B10" s="110"/>
      <c r="C10" s="110">
        <f t="shared" si="1"/>
        <v>0</v>
      </c>
      <c r="D10" s="134"/>
      <c r="E10" s="84">
        <v>69.0</v>
      </c>
      <c r="F10" s="179">
        <v>0.0</v>
      </c>
      <c r="G10" s="222">
        <v>0.0</v>
      </c>
      <c r="H10" s="9">
        <f t="shared" si="2"/>
        <v>0</v>
      </c>
      <c r="I10" s="40">
        <f>E10*G10</f>
        <v>0</v>
      </c>
      <c r="J10" s="48">
        <f>E10-B10</f>
        <v>69</v>
      </c>
      <c r="K10" s="223">
        <f t="shared" si="3"/>
        <v>0</v>
      </c>
      <c r="L10" s="154"/>
      <c r="M10" s="236"/>
    </row>
    <row r="11">
      <c r="A11" s="124" t="s">
        <v>65</v>
      </c>
      <c r="B11" s="117">
        <v>35.0</v>
      </c>
      <c r="C11" s="117">
        <f t="shared" si="1"/>
        <v>105</v>
      </c>
      <c r="D11" s="136">
        <v>75.0</v>
      </c>
      <c r="E11" s="92"/>
      <c r="F11" s="224">
        <v>3.0</v>
      </c>
      <c r="G11" s="225">
        <v>0.0</v>
      </c>
      <c r="H11" s="226">
        <f t="shared" si="2"/>
        <v>3</v>
      </c>
      <c r="I11" s="226">
        <f>D11*G11</f>
        <v>0</v>
      </c>
      <c r="J11" s="45">
        <f>D11-B11</f>
        <v>40</v>
      </c>
      <c r="K11" s="121">
        <f t="shared" si="3"/>
        <v>0</v>
      </c>
    </row>
    <row r="12">
      <c r="A12" s="237" t="s">
        <v>66</v>
      </c>
      <c r="B12" s="138">
        <v>0.0</v>
      </c>
      <c r="C12" s="110">
        <f t="shared" si="1"/>
        <v>0</v>
      </c>
      <c r="D12" s="139"/>
      <c r="E12" s="84">
        <v>135.0</v>
      </c>
      <c r="F12" s="140">
        <v>0.0</v>
      </c>
      <c r="G12" s="11">
        <v>0.0</v>
      </c>
      <c r="H12" s="9">
        <f t="shared" si="2"/>
        <v>0</v>
      </c>
      <c r="I12" s="40">
        <f>E12*G12</f>
        <v>0</v>
      </c>
      <c r="J12" s="48">
        <f>E12-B12</f>
        <v>135</v>
      </c>
      <c r="K12" s="141">
        <f t="shared" si="3"/>
        <v>0</v>
      </c>
    </row>
    <row r="13">
      <c r="A13" s="238" t="s">
        <v>66</v>
      </c>
      <c r="B13" s="145">
        <v>51.0</v>
      </c>
      <c r="C13" s="117">
        <f t="shared" si="1"/>
        <v>408</v>
      </c>
      <c r="D13" s="91">
        <v>145.0</v>
      </c>
      <c r="E13" s="92"/>
      <c r="F13" s="118">
        <v>8.0</v>
      </c>
      <c r="G13" s="119">
        <v>1.0</v>
      </c>
      <c r="H13" s="43">
        <f t="shared" si="2"/>
        <v>7</v>
      </c>
      <c r="I13" s="120">
        <f>D13*G13</f>
        <v>145</v>
      </c>
      <c r="J13" s="94">
        <f>D13-B13</f>
        <v>94</v>
      </c>
      <c r="K13" s="144">
        <f t="shared" si="3"/>
        <v>94</v>
      </c>
      <c r="L13" s="122"/>
      <c r="M13" s="123"/>
    </row>
    <row r="14">
      <c r="A14" s="194"/>
      <c r="B14" s="221">
        <v>0.0</v>
      </c>
      <c r="C14" s="188">
        <f t="shared" si="1"/>
        <v>0</v>
      </c>
      <c r="D14" s="178"/>
      <c r="E14" s="84"/>
      <c r="F14" s="189"/>
      <c r="G14" s="190">
        <v>0.0</v>
      </c>
      <c r="H14" s="191">
        <f t="shared" si="2"/>
        <v>0</v>
      </c>
      <c r="I14" s="191">
        <f>E14*G14</f>
        <v>0</v>
      </c>
      <c r="J14" s="181">
        <f>E14-B14</f>
        <v>0</v>
      </c>
      <c r="K14" s="192">
        <f t="shared" si="3"/>
        <v>0</v>
      </c>
      <c r="L14" s="97"/>
      <c r="M14" s="97"/>
    </row>
    <row r="15">
      <c r="A15" s="239" t="s">
        <v>67</v>
      </c>
      <c r="B15" s="171">
        <v>93.0</v>
      </c>
      <c r="C15" s="171">
        <f t="shared" si="1"/>
        <v>186</v>
      </c>
      <c r="D15" s="100">
        <v>180.0</v>
      </c>
      <c r="E15" s="171"/>
      <c r="F15" s="171">
        <v>2.0</v>
      </c>
      <c r="G15" s="171">
        <v>0.0</v>
      </c>
      <c r="H15" s="168">
        <f t="shared" si="2"/>
        <v>2</v>
      </c>
      <c r="I15" s="171">
        <f>D15*G15</f>
        <v>0</v>
      </c>
      <c r="J15" s="193">
        <f>D15-B15</f>
        <v>87</v>
      </c>
      <c r="K15" s="192">
        <f t="shared" si="3"/>
        <v>0</v>
      </c>
      <c r="L15" s="154"/>
      <c r="M15" s="97"/>
    </row>
    <row r="16">
      <c r="A16" s="195" t="s">
        <v>24</v>
      </c>
      <c r="B16" s="240">
        <f t="shared" ref="B16:F16" si="4">SUM(B2:B15)</f>
        <v>459</v>
      </c>
      <c r="C16" s="241">
        <f t="shared" si="4"/>
        <v>1274</v>
      </c>
      <c r="D16" s="198">
        <f t="shared" si="4"/>
        <v>1004</v>
      </c>
      <c r="E16" s="198">
        <f t="shared" si="4"/>
        <v>761</v>
      </c>
      <c r="F16" s="199">
        <f t="shared" si="4"/>
        <v>26</v>
      </c>
      <c r="G16" s="200">
        <f>SUM(G3:G15)</f>
        <v>1</v>
      </c>
      <c r="H16" s="200">
        <f t="shared" ref="H16:I16" si="5">SUM(H2:H15)</f>
        <v>25</v>
      </c>
      <c r="I16" s="200">
        <f t="shared" si="5"/>
        <v>145</v>
      </c>
      <c r="J16" s="200"/>
      <c r="K16" s="242">
        <f>SUM(K2:K15)</f>
        <v>94</v>
      </c>
    </row>
    <row r="17">
      <c r="H17" s="204"/>
    </row>
    <row r="18">
      <c r="H18" s="97"/>
    </row>
    <row r="19">
      <c r="A19" s="205" t="s">
        <v>49</v>
      </c>
      <c r="B19" s="206"/>
      <c r="C19" s="206" t="s">
        <v>50</v>
      </c>
      <c r="D19" s="207"/>
      <c r="E19" s="207"/>
      <c r="H19" s="243" t="s">
        <v>63</v>
      </c>
      <c r="I19" s="244"/>
      <c r="J19" s="208" t="s">
        <v>68</v>
      </c>
      <c r="K19" s="209"/>
      <c r="L19" s="208" t="s">
        <v>69</v>
      </c>
      <c r="M19" s="209"/>
    </row>
    <row r="20">
      <c r="B20" s="210"/>
      <c r="C20" s="210"/>
      <c r="D20" s="210"/>
      <c r="E20" s="210"/>
      <c r="H20" s="211"/>
      <c r="I20" s="212"/>
      <c r="J20" s="211"/>
      <c r="K20" s="212"/>
      <c r="L20" s="211"/>
      <c r="M20" s="212"/>
    </row>
    <row r="23">
      <c r="B23" s="77" t="s">
        <v>70</v>
      </c>
    </row>
    <row r="24">
      <c r="E24" s="7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B19:B20"/>
    <mergeCell ref="C19:C20"/>
    <mergeCell ref="D19:D20"/>
    <mergeCell ref="E19:E20"/>
    <mergeCell ref="H19:I20"/>
    <mergeCell ref="J19:K20"/>
    <mergeCell ref="L19:M20"/>
  </mergeCells>
  <conditionalFormatting sqref="F19:G20 H22">
    <cfRule type="notContainsBlanks" dxfId="0" priority="1">
      <formula>LEN(TRIM(F19))&gt;0</formula>
    </cfRule>
  </conditionalFormatting>
  <conditionalFormatting sqref="H2:H18">
    <cfRule type="cellIs" dxfId="1" priority="2" operator="notEqual">
      <formula>0</formula>
    </cfRule>
  </conditionalFormatting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9.71"/>
    <col customWidth="1" min="3" max="3" width="7.14"/>
    <col customWidth="1" min="4" max="4" width="15.14"/>
    <col customWidth="1" min="5" max="5" width="12.43"/>
    <col customWidth="1" min="6" max="6" width="8.71"/>
    <col customWidth="1" min="7" max="8" width="9.14"/>
    <col customWidth="1" min="9" max="9" width="10.0"/>
    <col customWidth="1" min="10" max="10" width="8.57"/>
    <col customWidth="1" min="11" max="11" width="13.86"/>
    <col customWidth="1" min="12" max="29" width="8.71"/>
  </cols>
  <sheetData>
    <row r="1">
      <c r="A1" s="1" t="s">
        <v>0</v>
      </c>
      <c r="B1" s="78" t="s">
        <v>1</v>
      </c>
      <c r="C1" s="2" t="s">
        <v>2</v>
      </c>
      <c r="D1" s="7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8" t="s">
        <v>25</v>
      </c>
      <c r="J1" s="2" t="s">
        <v>9</v>
      </c>
      <c r="K1" s="79" t="s">
        <v>10</v>
      </c>
    </row>
    <row r="2">
      <c r="A2" s="80"/>
      <c r="B2" s="221">
        <v>0.0</v>
      </c>
      <c r="C2" s="110">
        <f>B2*F2</f>
        <v>0</v>
      </c>
      <c r="D2" s="222"/>
      <c r="E2" s="84"/>
      <c r="F2" s="179">
        <v>0.0</v>
      </c>
      <c r="G2" s="222">
        <v>0.0</v>
      </c>
      <c r="H2" s="40">
        <f t="shared" ref="H2:H33" si="1">F2-G2</f>
        <v>0</v>
      </c>
      <c r="I2" s="40">
        <f>E2*G2</f>
        <v>0</v>
      </c>
      <c r="J2" s="48">
        <f>E2-B2</f>
        <v>0</v>
      </c>
      <c r="K2" s="223">
        <f t="shared" ref="K2:K33" si="2">J2*G2</f>
        <v>0</v>
      </c>
      <c r="L2" s="154"/>
      <c r="M2" s="97"/>
    </row>
    <row r="3">
      <c r="A3" s="80"/>
      <c r="B3" s="184"/>
      <c r="C3" s="117"/>
      <c r="D3" s="91"/>
      <c r="E3" s="92"/>
      <c r="F3" s="179">
        <v>0.0</v>
      </c>
      <c r="G3" s="225">
        <v>0.0</v>
      </c>
      <c r="H3" s="44">
        <f t="shared" si="1"/>
        <v>0</v>
      </c>
      <c r="I3" s="226">
        <f>D3*G3</f>
        <v>0</v>
      </c>
      <c r="J3" s="94">
        <f>D3-B3</f>
        <v>0</v>
      </c>
      <c r="K3" s="227">
        <f t="shared" si="2"/>
        <v>0</v>
      </c>
      <c r="L3" s="97"/>
    </row>
    <row r="4">
      <c r="A4" s="95"/>
      <c r="B4" s="110"/>
      <c r="C4" s="110">
        <f>B4*F4</f>
        <v>0</v>
      </c>
      <c r="D4" s="178"/>
      <c r="E4" s="84"/>
      <c r="F4" s="179">
        <v>0.0</v>
      </c>
      <c r="G4" s="222">
        <v>0.0</v>
      </c>
      <c r="H4" s="40">
        <f t="shared" si="1"/>
        <v>0</v>
      </c>
      <c r="I4" s="44">
        <f>E4*G4</f>
        <v>0</v>
      </c>
      <c r="J4" s="48">
        <f>E4-B4</f>
        <v>0</v>
      </c>
      <c r="K4" s="223">
        <f t="shared" si="2"/>
        <v>0</v>
      </c>
      <c r="L4" s="154"/>
      <c r="M4" s="97"/>
      <c r="N4" s="97"/>
    </row>
    <row r="5">
      <c r="A5" s="95"/>
      <c r="B5" s="229"/>
      <c r="C5" s="117"/>
      <c r="D5" s="91"/>
      <c r="E5" s="92"/>
      <c r="F5" s="179">
        <v>0.0</v>
      </c>
      <c r="G5" s="119">
        <v>0.0</v>
      </c>
      <c r="H5" s="43">
        <f t="shared" si="1"/>
        <v>0</v>
      </c>
      <c r="I5" s="226">
        <f>D5*G5</f>
        <v>0</v>
      </c>
      <c r="J5" s="94">
        <f>D5-B5</f>
        <v>0</v>
      </c>
      <c r="K5" s="121">
        <f t="shared" si="2"/>
        <v>0</v>
      </c>
    </row>
    <row r="6">
      <c r="A6" s="245"/>
      <c r="B6" s="231">
        <v>0.0</v>
      </c>
      <c r="C6" s="110">
        <f>B6*F6</f>
        <v>0</v>
      </c>
      <c r="D6" s="111"/>
      <c r="E6" s="112"/>
      <c r="F6" s="179">
        <v>0.0</v>
      </c>
      <c r="G6" s="114">
        <v>0.0</v>
      </c>
      <c r="H6" s="103">
        <f t="shared" si="1"/>
        <v>0</v>
      </c>
      <c r="I6" s="44">
        <f>E6*G6</f>
        <v>0</v>
      </c>
      <c r="J6" s="74">
        <f>E6-B6</f>
        <v>0</v>
      </c>
      <c r="K6" s="115">
        <f t="shared" si="2"/>
        <v>0</v>
      </c>
    </row>
    <row r="7">
      <c r="A7" s="245"/>
      <c r="B7" s="109"/>
      <c r="C7" s="117"/>
      <c r="D7" s="91"/>
      <c r="E7" s="92"/>
      <c r="F7" s="179">
        <v>0.0</v>
      </c>
      <c r="G7" s="119">
        <v>0.0</v>
      </c>
      <c r="H7" s="120">
        <f t="shared" si="1"/>
        <v>0</v>
      </c>
      <c r="I7" s="44">
        <f>D7*G7</f>
        <v>0</v>
      </c>
      <c r="J7" s="94">
        <f>D7-B7</f>
        <v>0</v>
      </c>
      <c r="K7" s="121">
        <f t="shared" si="2"/>
        <v>0</v>
      </c>
      <c r="L7" s="122" t="s">
        <v>31</v>
      </c>
      <c r="M7" s="123"/>
    </row>
    <row r="8">
      <c r="A8" s="124"/>
      <c r="B8" s="151"/>
      <c r="C8" s="110">
        <f>B8*F8</f>
        <v>0</v>
      </c>
      <c r="D8" s="126"/>
      <c r="E8" s="112"/>
      <c r="F8" s="179">
        <v>0.0</v>
      </c>
      <c r="G8" s="233">
        <v>0.0</v>
      </c>
      <c r="H8" s="103">
        <f t="shared" si="1"/>
        <v>0</v>
      </c>
      <c r="I8" s="44">
        <f>E8*G8</f>
        <v>0</v>
      </c>
      <c r="J8" s="74">
        <f>E8-B8</f>
        <v>0</v>
      </c>
      <c r="K8" s="234">
        <f t="shared" si="2"/>
        <v>0</v>
      </c>
      <c r="L8" s="154"/>
      <c r="M8" s="154"/>
    </row>
    <row r="9">
      <c r="A9" s="124"/>
      <c r="B9" s="145"/>
      <c r="C9" s="117"/>
      <c r="D9" s="91"/>
      <c r="E9" s="92"/>
      <c r="F9" s="179">
        <v>0.0</v>
      </c>
      <c r="G9" s="119">
        <v>0.0</v>
      </c>
      <c r="H9" s="43">
        <f t="shared" si="1"/>
        <v>0</v>
      </c>
      <c r="I9" s="235">
        <f>D9*G9</f>
        <v>0</v>
      </c>
      <c r="J9" s="63">
        <f>D9-B9</f>
        <v>0</v>
      </c>
      <c r="K9" s="121">
        <f t="shared" si="2"/>
        <v>0</v>
      </c>
      <c r="L9" s="97"/>
      <c r="M9" s="97"/>
    </row>
    <row r="10">
      <c r="A10" s="124"/>
      <c r="B10" s="110"/>
      <c r="C10" s="110">
        <f>B10*F10</f>
        <v>0</v>
      </c>
      <c r="D10" s="134"/>
      <c r="E10" s="84"/>
      <c r="F10" s="179">
        <v>0.0</v>
      </c>
      <c r="G10" s="222">
        <v>0.0</v>
      </c>
      <c r="H10" s="9">
        <f t="shared" si="1"/>
        <v>0</v>
      </c>
      <c r="I10" s="40">
        <f>E10*G10</f>
        <v>0</v>
      </c>
      <c r="J10" s="48">
        <f>E10-B10</f>
        <v>0</v>
      </c>
      <c r="K10" s="223">
        <f t="shared" si="2"/>
        <v>0</v>
      </c>
      <c r="L10" s="154"/>
      <c r="M10" s="236"/>
    </row>
    <row r="11">
      <c r="A11" s="124"/>
      <c r="B11" s="117"/>
      <c r="C11" s="117"/>
      <c r="D11" s="136"/>
      <c r="E11" s="92"/>
      <c r="F11" s="179">
        <v>0.0</v>
      </c>
      <c r="G11" s="225">
        <v>0.0</v>
      </c>
      <c r="H11" s="226">
        <f t="shared" si="1"/>
        <v>0</v>
      </c>
      <c r="I11" s="226">
        <f>D11*G11</f>
        <v>0</v>
      </c>
      <c r="J11" s="45">
        <f>D11-B11</f>
        <v>0</v>
      </c>
      <c r="K11" s="121">
        <f t="shared" si="2"/>
        <v>0</v>
      </c>
    </row>
    <row r="12">
      <c r="A12" s="237" t="s">
        <v>66</v>
      </c>
      <c r="B12" s="138">
        <v>0.0</v>
      </c>
      <c r="C12" s="110">
        <f t="shared" ref="C12:C33" si="3">B12*F12</f>
        <v>0</v>
      </c>
      <c r="D12" s="139"/>
      <c r="E12" s="84"/>
      <c r="F12" s="179">
        <v>0.0</v>
      </c>
      <c r="G12" s="11">
        <v>0.0</v>
      </c>
      <c r="H12" s="9">
        <f t="shared" si="1"/>
        <v>0</v>
      </c>
      <c r="I12" s="40">
        <f>E12*G12</f>
        <v>0</v>
      </c>
      <c r="J12" s="48">
        <f>E12-B12</f>
        <v>0</v>
      </c>
      <c r="K12" s="141">
        <f t="shared" si="2"/>
        <v>0</v>
      </c>
    </row>
    <row r="13">
      <c r="A13" s="238" t="s">
        <v>66</v>
      </c>
      <c r="B13" s="145">
        <v>51.0</v>
      </c>
      <c r="C13" s="117">
        <f t="shared" si="3"/>
        <v>0</v>
      </c>
      <c r="D13" s="91">
        <v>149.0</v>
      </c>
      <c r="E13" s="92"/>
      <c r="F13" s="179">
        <v>0.0</v>
      </c>
      <c r="G13" s="119">
        <v>0.0</v>
      </c>
      <c r="H13" s="43">
        <f t="shared" si="1"/>
        <v>0</v>
      </c>
      <c r="I13" s="120">
        <f>D13*G13</f>
        <v>0</v>
      </c>
      <c r="J13" s="94">
        <f>D13-B13</f>
        <v>98</v>
      </c>
      <c r="K13" s="144">
        <f t="shared" si="2"/>
        <v>0</v>
      </c>
      <c r="L13" s="122" t="s">
        <v>31</v>
      </c>
      <c r="M13" s="123"/>
    </row>
    <row r="14">
      <c r="A14" s="177"/>
      <c r="B14" s="138">
        <v>0.0</v>
      </c>
      <c r="C14" s="110">
        <f t="shared" si="3"/>
        <v>0</v>
      </c>
      <c r="D14" s="139"/>
      <c r="E14" s="84"/>
      <c r="F14" s="140">
        <v>0.0</v>
      </c>
      <c r="G14" s="11">
        <v>0.0</v>
      </c>
      <c r="H14" s="9">
        <f t="shared" si="1"/>
        <v>0</v>
      </c>
      <c r="I14" s="9">
        <f>E14*G14</f>
        <v>0</v>
      </c>
      <c r="J14" s="146">
        <f>E14-B14</f>
        <v>0</v>
      </c>
      <c r="K14" s="115">
        <f t="shared" si="2"/>
        <v>0</v>
      </c>
    </row>
    <row r="15">
      <c r="A15" s="182"/>
      <c r="B15" s="117"/>
      <c r="C15" s="117">
        <f t="shared" si="3"/>
        <v>0</v>
      </c>
      <c r="D15" s="91"/>
      <c r="E15" s="92"/>
      <c r="F15" s="118">
        <v>0.0</v>
      </c>
      <c r="G15" s="119">
        <v>0.0</v>
      </c>
      <c r="H15" s="43">
        <f t="shared" si="1"/>
        <v>0</v>
      </c>
      <c r="I15" s="120">
        <f>D15*G15</f>
        <v>0</v>
      </c>
      <c r="J15" s="148">
        <f t="shared" ref="J15:J17" si="4">D15-B15</f>
        <v>0</v>
      </c>
      <c r="K15" s="121">
        <f t="shared" si="2"/>
        <v>0</v>
      </c>
      <c r="L15" s="122" t="s">
        <v>31</v>
      </c>
      <c r="M15" s="123"/>
    </row>
    <row r="16">
      <c r="A16" s="157"/>
      <c r="B16" s="138">
        <v>0.0</v>
      </c>
      <c r="C16" s="110">
        <f t="shared" si="3"/>
        <v>0</v>
      </c>
      <c r="D16" s="158"/>
      <c r="E16" s="84"/>
      <c r="F16" s="140">
        <v>0.0</v>
      </c>
      <c r="G16" s="11">
        <v>0.0</v>
      </c>
      <c r="H16" s="9">
        <f t="shared" si="1"/>
        <v>0</v>
      </c>
      <c r="I16" s="9">
        <f>E16*G16</f>
        <v>0</v>
      </c>
      <c r="J16" s="48">
        <f t="shared" si="4"/>
        <v>0</v>
      </c>
      <c r="K16" s="49">
        <f t="shared" si="2"/>
        <v>0</v>
      </c>
      <c r="M16" s="97"/>
    </row>
    <row r="17">
      <c r="A17" s="246"/>
      <c r="B17" s="145"/>
      <c r="C17" s="117">
        <f t="shared" si="3"/>
        <v>0</v>
      </c>
      <c r="D17" s="91"/>
      <c r="E17" s="92"/>
      <c r="F17" s="118">
        <v>0.0</v>
      </c>
      <c r="G17" s="119">
        <v>0.0</v>
      </c>
      <c r="H17" s="9">
        <f t="shared" si="1"/>
        <v>0</v>
      </c>
      <c r="I17" s="120">
        <f>D17*G17</f>
        <v>0</v>
      </c>
      <c r="J17" s="94">
        <f t="shared" si="4"/>
        <v>0</v>
      </c>
      <c r="K17" s="121">
        <f t="shared" si="2"/>
        <v>0</v>
      </c>
      <c r="L17" s="122" t="s">
        <v>31</v>
      </c>
      <c r="M17" s="123"/>
    </row>
    <row r="18">
      <c r="A18" s="124"/>
      <c r="B18" s="231">
        <v>0.0</v>
      </c>
      <c r="C18" s="110">
        <f t="shared" si="3"/>
        <v>0</v>
      </c>
      <c r="D18" s="139"/>
      <c r="E18" s="84"/>
      <c r="F18" s="140">
        <v>0.0</v>
      </c>
      <c r="G18" s="11">
        <v>0.0</v>
      </c>
      <c r="H18" s="9">
        <f t="shared" si="1"/>
        <v>0</v>
      </c>
      <c r="I18" s="9">
        <f>E18*G18</f>
        <v>0</v>
      </c>
      <c r="J18" s="48">
        <f>E18-B18</f>
        <v>0</v>
      </c>
      <c r="K18" s="162">
        <f t="shared" si="2"/>
        <v>0</v>
      </c>
    </row>
    <row r="19">
      <c r="A19" s="163"/>
      <c r="B19" s="145"/>
      <c r="C19" s="117">
        <f t="shared" si="3"/>
        <v>0</v>
      </c>
      <c r="D19" s="91"/>
      <c r="E19" s="92"/>
      <c r="F19" s="118">
        <v>0.0</v>
      </c>
      <c r="G19" s="119">
        <v>0.0</v>
      </c>
      <c r="H19" s="43">
        <f t="shared" si="1"/>
        <v>0</v>
      </c>
      <c r="I19" s="160">
        <f>D19*G19</f>
        <v>0</v>
      </c>
      <c r="J19" s="94">
        <f>D19-B19</f>
        <v>0</v>
      </c>
      <c r="K19" s="164">
        <f t="shared" si="2"/>
        <v>0</v>
      </c>
      <c r="L19" s="122" t="s">
        <v>31</v>
      </c>
      <c r="M19" s="123"/>
    </row>
    <row r="20">
      <c r="A20" s="165"/>
      <c r="B20" s="231">
        <v>0.0</v>
      </c>
      <c r="C20" s="110">
        <f t="shared" si="3"/>
        <v>0</v>
      </c>
      <c r="D20" s="139"/>
      <c r="E20" s="84"/>
      <c r="F20" s="140">
        <v>0.0</v>
      </c>
      <c r="G20" s="11">
        <v>0.0</v>
      </c>
      <c r="H20" s="9">
        <f t="shared" si="1"/>
        <v>0</v>
      </c>
      <c r="I20" s="9">
        <f>E20*G20</f>
        <v>0</v>
      </c>
      <c r="J20" s="48">
        <f>E20-B20</f>
        <v>0</v>
      </c>
      <c r="K20" s="162">
        <f t="shared" si="2"/>
        <v>0</v>
      </c>
    </row>
    <row r="21">
      <c r="A21" s="166"/>
      <c r="B21" s="117"/>
      <c r="C21" s="117">
        <f t="shared" si="3"/>
        <v>0</v>
      </c>
      <c r="D21" s="91"/>
      <c r="E21" s="92"/>
      <c r="F21" s="118"/>
      <c r="G21" s="119">
        <v>0.0</v>
      </c>
      <c r="H21" s="43">
        <f t="shared" si="1"/>
        <v>0</v>
      </c>
      <c r="I21" s="120">
        <f>D21*G21</f>
        <v>0</v>
      </c>
      <c r="J21" s="94">
        <f>D21-B21</f>
        <v>0</v>
      </c>
      <c r="K21" s="121">
        <f t="shared" si="2"/>
        <v>0</v>
      </c>
      <c r="L21" s="122" t="s">
        <v>31</v>
      </c>
      <c r="M21" s="123"/>
    </row>
    <row r="22">
      <c r="A22" s="172"/>
      <c r="B22" s="138">
        <v>0.0</v>
      </c>
      <c r="C22" s="110">
        <f t="shared" si="3"/>
        <v>0</v>
      </c>
      <c r="D22" s="139"/>
      <c r="E22" s="84"/>
      <c r="F22" s="140">
        <v>0.0</v>
      </c>
      <c r="G22" s="11">
        <v>0.0</v>
      </c>
      <c r="H22" s="9">
        <f t="shared" si="1"/>
        <v>0</v>
      </c>
      <c r="I22" s="9">
        <f>E22*G22</f>
        <v>0</v>
      </c>
      <c r="J22" s="48">
        <f>E22-B22</f>
        <v>0</v>
      </c>
      <c r="K22" s="162">
        <f t="shared" si="2"/>
        <v>0</v>
      </c>
    </row>
    <row r="23">
      <c r="A23" s="174"/>
      <c r="B23" s="173"/>
      <c r="C23" s="117">
        <f t="shared" si="3"/>
        <v>0</v>
      </c>
      <c r="D23" s="100"/>
      <c r="E23" s="101"/>
      <c r="F23" s="171"/>
      <c r="G23" s="175">
        <v>0.0</v>
      </c>
      <c r="H23" s="61">
        <f t="shared" si="1"/>
        <v>0</v>
      </c>
      <c r="I23" s="176">
        <f>D23*G23</f>
        <v>0</v>
      </c>
      <c r="J23" s="169">
        <f>D23-B23</f>
        <v>0</v>
      </c>
      <c r="K23" s="121">
        <f t="shared" si="2"/>
        <v>0</v>
      </c>
      <c r="L23" s="122" t="s">
        <v>31</v>
      </c>
      <c r="M23" s="123"/>
    </row>
    <row r="24">
      <c r="A24" s="247"/>
      <c r="B24" s="221">
        <v>0.0</v>
      </c>
      <c r="C24" s="110">
        <f t="shared" si="3"/>
        <v>0</v>
      </c>
      <c r="D24" s="178"/>
      <c r="E24" s="84"/>
      <c r="F24" s="179"/>
      <c r="G24" s="11">
        <v>0.0</v>
      </c>
      <c r="H24" s="180">
        <f t="shared" si="1"/>
        <v>0</v>
      </c>
      <c r="I24" s="9">
        <f>E24*G24</f>
        <v>0</v>
      </c>
      <c r="J24" s="181">
        <f>E24-B24</f>
        <v>0</v>
      </c>
      <c r="K24" s="162">
        <f t="shared" si="2"/>
        <v>0</v>
      </c>
      <c r="L24" s="154"/>
      <c r="M24" s="97"/>
    </row>
    <row r="25">
      <c r="A25" s="248"/>
      <c r="B25" s="249"/>
      <c r="C25" s="117">
        <f t="shared" si="3"/>
        <v>0</v>
      </c>
      <c r="D25" s="100"/>
      <c r="E25" s="101"/>
      <c r="F25" s="171"/>
      <c r="G25" s="175">
        <v>0.0</v>
      </c>
      <c r="H25" s="43">
        <f t="shared" si="1"/>
        <v>0</v>
      </c>
      <c r="I25" s="176">
        <f>D25*G25</f>
        <v>0</v>
      </c>
      <c r="J25" s="94">
        <f>D25-B25</f>
        <v>0</v>
      </c>
      <c r="K25" s="121">
        <f t="shared" si="2"/>
        <v>0</v>
      </c>
      <c r="L25" s="122" t="s">
        <v>31</v>
      </c>
      <c r="M25" s="123"/>
    </row>
    <row r="26">
      <c r="A26" s="183"/>
      <c r="B26" s="221">
        <v>0.0</v>
      </c>
      <c r="C26" s="110">
        <f t="shared" si="3"/>
        <v>0</v>
      </c>
      <c r="D26" s="178"/>
      <c r="E26" s="84"/>
      <c r="F26" s="179"/>
      <c r="G26" s="11">
        <v>0.0</v>
      </c>
      <c r="H26" s="180">
        <f t="shared" si="1"/>
        <v>0</v>
      </c>
      <c r="I26" s="9">
        <f>E26*G26</f>
        <v>0</v>
      </c>
      <c r="J26" s="181">
        <f>E26-B26</f>
        <v>0</v>
      </c>
      <c r="K26" s="162">
        <f t="shared" si="2"/>
        <v>0</v>
      </c>
      <c r="L26" s="154"/>
      <c r="M26" s="97"/>
    </row>
    <row r="27">
      <c r="A27" s="185"/>
      <c r="B27" s="184"/>
      <c r="C27" s="117">
        <f t="shared" si="3"/>
        <v>0</v>
      </c>
      <c r="D27" s="91"/>
      <c r="E27" s="92"/>
      <c r="F27" s="118"/>
      <c r="G27" s="175">
        <v>0.0</v>
      </c>
      <c r="H27" s="120">
        <f t="shared" si="1"/>
        <v>0</v>
      </c>
      <c r="I27" s="168">
        <f>D27*G27</f>
        <v>0</v>
      </c>
      <c r="J27" s="94">
        <f>D27-B27</f>
        <v>0</v>
      </c>
      <c r="K27" s="121">
        <f t="shared" si="2"/>
        <v>0</v>
      </c>
      <c r="L27" s="122" t="s">
        <v>31</v>
      </c>
      <c r="M27" s="123"/>
    </row>
    <row r="28">
      <c r="A28" s="172"/>
      <c r="B28" s="110">
        <v>0.0</v>
      </c>
      <c r="C28" s="110">
        <f t="shared" si="3"/>
        <v>0</v>
      </c>
      <c r="D28" s="178"/>
      <c r="E28" s="84"/>
      <c r="F28" s="179"/>
      <c r="G28" s="11">
        <v>0.0</v>
      </c>
      <c r="H28" s="62">
        <f t="shared" si="1"/>
        <v>0</v>
      </c>
      <c r="I28" s="9">
        <f>E28*G28</f>
        <v>0</v>
      </c>
      <c r="J28" s="181">
        <f>E28-B28</f>
        <v>0</v>
      </c>
      <c r="K28" s="162">
        <f t="shared" si="2"/>
        <v>0</v>
      </c>
      <c r="L28" s="154"/>
      <c r="M28" s="97"/>
    </row>
    <row r="29">
      <c r="A29" s="172"/>
      <c r="B29" s="186"/>
      <c r="C29" s="173">
        <f t="shared" si="3"/>
        <v>0</v>
      </c>
      <c r="D29" s="100"/>
      <c r="E29" s="101"/>
      <c r="F29" s="171"/>
      <c r="G29" s="167">
        <v>0.0</v>
      </c>
      <c r="H29" s="168">
        <f t="shared" si="1"/>
        <v>0</v>
      </c>
      <c r="I29" s="168">
        <f>D29*G29</f>
        <v>0</v>
      </c>
      <c r="J29" s="169">
        <f>D29-B29</f>
        <v>0</v>
      </c>
      <c r="K29" s="170">
        <f t="shared" si="2"/>
        <v>0</v>
      </c>
      <c r="L29" s="122" t="s">
        <v>31</v>
      </c>
      <c r="M29" s="123"/>
    </row>
    <row r="30">
      <c r="A30" s="187"/>
      <c r="B30" s="221">
        <v>0.0</v>
      </c>
      <c r="C30" s="188">
        <f t="shared" si="3"/>
        <v>0</v>
      </c>
      <c r="D30" s="178"/>
      <c r="E30" s="84"/>
      <c r="F30" s="189"/>
      <c r="G30" s="190">
        <v>0.0</v>
      </c>
      <c r="H30" s="191">
        <f t="shared" si="1"/>
        <v>0</v>
      </c>
      <c r="I30" s="191">
        <f>E30*G30</f>
        <v>0</v>
      </c>
      <c r="J30" s="181">
        <f>E30-B30</f>
        <v>0</v>
      </c>
      <c r="K30" s="192">
        <f t="shared" si="2"/>
        <v>0</v>
      </c>
      <c r="L30" s="154"/>
      <c r="M30" s="97"/>
    </row>
    <row r="31">
      <c r="A31" s="187"/>
      <c r="B31" s="171"/>
      <c r="C31" s="171">
        <f t="shared" si="3"/>
        <v>0</v>
      </c>
      <c r="D31" s="100"/>
      <c r="E31" s="171"/>
      <c r="F31" s="171"/>
      <c r="G31" s="171">
        <v>0.0</v>
      </c>
      <c r="H31" s="168">
        <f t="shared" si="1"/>
        <v>0</v>
      </c>
      <c r="I31" s="171">
        <f>D31*G31</f>
        <v>0</v>
      </c>
      <c r="J31" s="193">
        <f>D31-B31</f>
        <v>0</v>
      </c>
      <c r="K31" s="171">
        <f t="shared" si="2"/>
        <v>0</v>
      </c>
      <c r="L31" s="154"/>
      <c r="M31" s="97"/>
    </row>
    <row r="32">
      <c r="A32" s="194"/>
      <c r="B32" s="221">
        <v>0.0</v>
      </c>
      <c r="C32" s="188">
        <f t="shared" si="3"/>
        <v>0</v>
      </c>
      <c r="D32" s="178"/>
      <c r="E32" s="84"/>
      <c r="F32" s="189"/>
      <c r="G32" s="190">
        <v>0.0</v>
      </c>
      <c r="H32" s="191">
        <f t="shared" si="1"/>
        <v>0</v>
      </c>
      <c r="I32" s="191">
        <f>E32*G32</f>
        <v>0</v>
      </c>
      <c r="J32" s="181">
        <f>E32-B32</f>
        <v>0</v>
      </c>
      <c r="K32" s="192">
        <f t="shared" si="2"/>
        <v>0</v>
      </c>
      <c r="L32" s="97"/>
      <c r="M32" s="97"/>
    </row>
    <row r="33">
      <c r="A33" s="194"/>
      <c r="B33" s="171"/>
      <c r="C33" s="171">
        <f t="shared" si="3"/>
        <v>0</v>
      </c>
      <c r="D33" s="100"/>
      <c r="E33" s="171"/>
      <c r="F33" s="171"/>
      <c r="G33" s="171">
        <v>0.0</v>
      </c>
      <c r="H33" s="168">
        <f t="shared" si="1"/>
        <v>0</v>
      </c>
      <c r="I33" s="171">
        <f>D33*G33</f>
        <v>0</v>
      </c>
      <c r="J33" s="193">
        <f>D33-B33</f>
        <v>0</v>
      </c>
      <c r="K33" s="192">
        <f t="shared" si="2"/>
        <v>0</v>
      </c>
      <c r="L33" s="154"/>
      <c r="M33" s="97"/>
    </row>
    <row r="34">
      <c r="A34" s="195" t="s">
        <v>24</v>
      </c>
      <c r="B34" s="240">
        <f t="shared" ref="B34:F34" si="5">SUM(B2:B33)</f>
        <v>51</v>
      </c>
      <c r="C34" s="241">
        <f t="shared" si="5"/>
        <v>0</v>
      </c>
      <c r="D34" s="198">
        <f t="shared" si="5"/>
        <v>149</v>
      </c>
      <c r="E34" s="198">
        <f t="shared" si="5"/>
        <v>0</v>
      </c>
      <c r="F34" s="199">
        <f t="shared" si="5"/>
        <v>0</v>
      </c>
      <c r="G34" s="200">
        <f>SUM(G3:G33)</f>
        <v>0</v>
      </c>
      <c r="H34" s="200">
        <f t="shared" ref="H34:I34" si="6">SUM(H2:H33)</f>
        <v>0</v>
      </c>
      <c r="I34" s="200">
        <f t="shared" si="6"/>
        <v>0</v>
      </c>
      <c r="J34" s="200"/>
      <c r="K34" s="242">
        <f>SUM(K2:K33)</f>
        <v>0</v>
      </c>
    </row>
    <row r="35">
      <c r="H35" s="204"/>
    </row>
    <row r="36">
      <c r="H36" s="97"/>
    </row>
    <row r="37">
      <c r="A37" s="205" t="s">
        <v>49</v>
      </c>
      <c r="B37" s="206"/>
      <c r="C37" s="206" t="s">
        <v>50</v>
      </c>
      <c r="D37" s="207"/>
      <c r="E37" s="207"/>
      <c r="H37" s="243" t="s">
        <v>63</v>
      </c>
      <c r="I37" s="244"/>
      <c r="J37" s="208" t="s">
        <v>68</v>
      </c>
      <c r="K37" s="209"/>
      <c r="L37" s="208" t="s">
        <v>69</v>
      </c>
      <c r="M37" s="209"/>
    </row>
    <row r="38">
      <c r="B38" s="210"/>
      <c r="C38" s="210"/>
      <c r="D38" s="210"/>
      <c r="E38" s="210"/>
      <c r="H38" s="211"/>
      <c r="I38" s="212"/>
      <c r="J38" s="211"/>
      <c r="K38" s="212"/>
      <c r="L38" s="211"/>
      <c r="M38" s="212"/>
    </row>
    <row r="41">
      <c r="B41" s="77" t="s">
        <v>70</v>
      </c>
    </row>
    <row r="42">
      <c r="E42" s="7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7">
    <mergeCell ref="B37:B38"/>
    <mergeCell ref="C37:C38"/>
    <mergeCell ref="D37:D38"/>
    <mergeCell ref="E37:E38"/>
    <mergeCell ref="H37:I38"/>
    <mergeCell ref="J37:K38"/>
    <mergeCell ref="L37:M38"/>
  </mergeCells>
  <conditionalFormatting sqref="F37:G38 H40">
    <cfRule type="notContainsBlanks" dxfId="0" priority="1">
      <formula>LEN(TRIM(F37))&gt;0</formula>
    </cfRule>
  </conditionalFormatting>
  <conditionalFormatting sqref="H2:H36">
    <cfRule type="cellIs" dxfId="1" priority="2" operator="notEqual">
      <formula>0</formula>
    </cfRule>
  </conditionalFormatting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0"/>
    <col customWidth="1" min="3" max="3" width="12.86"/>
    <col customWidth="1" min="4" max="4" width="8.71"/>
    <col customWidth="1" min="5" max="5" width="8.43"/>
    <col customWidth="1" min="6" max="6" width="6.29"/>
    <col customWidth="1" min="7" max="26" width="8.71"/>
  </cols>
  <sheetData>
    <row r="1">
      <c r="A1" s="250" t="s">
        <v>71</v>
      </c>
      <c r="B1" s="251" t="s">
        <v>72</v>
      </c>
      <c r="C1" s="77" t="s">
        <v>73</v>
      </c>
      <c r="D1" s="77" t="s">
        <v>74</v>
      </c>
      <c r="G1" s="154" t="s">
        <v>75</v>
      </c>
      <c r="H1" s="154" t="s">
        <v>76</v>
      </c>
      <c r="J1" s="252" t="s">
        <v>77</v>
      </c>
    </row>
    <row r="2">
      <c r="A2" s="160" t="s">
        <v>78</v>
      </c>
      <c r="B2" s="253">
        <v>1.5</v>
      </c>
      <c r="C2" s="253">
        <v>100.0</v>
      </c>
      <c r="D2" s="254">
        <f t="shared" ref="D2:D4" si="1">B2*C2</f>
        <v>150</v>
      </c>
      <c r="F2" s="255">
        <v>45972.0</v>
      </c>
      <c r="G2" s="256">
        <v>21.0</v>
      </c>
      <c r="H2" s="257">
        <f>G2*B5</f>
        <v>168</v>
      </c>
      <c r="J2" s="252">
        <v>150.0</v>
      </c>
    </row>
    <row r="3">
      <c r="A3" s="77" t="s">
        <v>79</v>
      </c>
      <c r="B3" s="258">
        <v>6.0</v>
      </c>
      <c r="C3" s="253">
        <v>25.0</v>
      </c>
      <c r="D3" s="259">
        <f t="shared" si="1"/>
        <v>150</v>
      </c>
      <c r="F3" s="255">
        <v>46004.0</v>
      </c>
      <c r="G3" s="256">
        <v>42.0</v>
      </c>
      <c r="H3" s="257">
        <f>G3*B5</f>
        <v>336</v>
      </c>
    </row>
    <row r="4">
      <c r="A4" s="77" t="s">
        <v>80</v>
      </c>
      <c r="B4" s="260">
        <v>0.5</v>
      </c>
      <c r="C4" s="253">
        <v>100.0</v>
      </c>
      <c r="D4" s="259">
        <f t="shared" si="1"/>
        <v>50</v>
      </c>
      <c r="F4" s="261">
        <v>45667.0</v>
      </c>
      <c r="G4" s="256">
        <v>19.0</v>
      </c>
      <c r="H4" s="257">
        <f>G4*B5</f>
        <v>152</v>
      </c>
    </row>
    <row r="5">
      <c r="A5" s="262" t="s">
        <v>81</v>
      </c>
      <c r="B5" s="263">
        <f>SUM(B2:B4)</f>
        <v>8</v>
      </c>
      <c r="G5" s="256">
        <v>0.0</v>
      </c>
      <c r="H5" s="257">
        <f>G5*B5</f>
        <v>0</v>
      </c>
    </row>
    <row r="6">
      <c r="G6" s="256">
        <v>0.0</v>
      </c>
      <c r="H6" s="257">
        <f>G6*B5</f>
        <v>0</v>
      </c>
    </row>
    <row r="7">
      <c r="G7" s="256">
        <v>0.0</v>
      </c>
      <c r="H7" s="257">
        <f>G7*B5</f>
        <v>0</v>
      </c>
    </row>
    <row r="8">
      <c r="A8" s="262" t="s">
        <v>82</v>
      </c>
      <c r="B8" s="264" t="s">
        <v>83</v>
      </c>
      <c r="G8" s="154"/>
    </row>
    <row r="9">
      <c r="A9" s="262" t="s">
        <v>84</v>
      </c>
      <c r="B9" s="262">
        <v>1.5</v>
      </c>
    </row>
    <row r="10">
      <c r="A10" s="265" t="s">
        <v>85</v>
      </c>
      <c r="B10" s="265">
        <v>6.0</v>
      </c>
    </row>
    <row r="11">
      <c r="A11" s="262" t="s">
        <v>80</v>
      </c>
      <c r="B11" s="266">
        <v>0.5</v>
      </c>
    </row>
    <row r="12">
      <c r="A12" s="267" t="s">
        <v>77</v>
      </c>
      <c r="B12" s="267">
        <f>150/20</f>
        <v>7.5</v>
      </c>
    </row>
    <row r="13">
      <c r="A13" s="268" t="s">
        <v>86</v>
      </c>
      <c r="B13" s="269">
        <f>SUM(B9:B12)</f>
        <v>15.5</v>
      </c>
    </row>
    <row r="14">
      <c r="E14" s="27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3.43"/>
    <col customWidth="1" min="7" max="7" width="10.43"/>
    <col customWidth="1" min="8" max="8" width="17.29"/>
    <col customWidth="1" min="10" max="10" width="13.57"/>
    <col customWidth="1" min="12" max="12" width="10.71"/>
    <col customWidth="1" min="13" max="13" width="6.71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>
      <c r="A2" s="271" t="s">
        <v>87</v>
      </c>
      <c r="B2" s="271" t="s">
        <v>88</v>
      </c>
      <c r="C2" s="271" t="s">
        <v>89</v>
      </c>
      <c r="D2" s="271" t="s">
        <v>90</v>
      </c>
      <c r="E2" s="271" t="s">
        <v>91</v>
      </c>
      <c r="F2" s="271" t="s">
        <v>92</v>
      </c>
      <c r="G2" s="271" t="s">
        <v>93</v>
      </c>
      <c r="H2" s="271" t="s">
        <v>94</v>
      </c>
      <c r="I2" s="271" t="s">
        <v>95</v>
      </c>
      <c r="J2" s="271" t="s">
        <v>96</v>
      </c>
      <c r="K2" s="271" t="s">
        <v>76</v>
      </c>
      <c r="L2" s="77" t="s">
        <v>97</v>
      </c>
      <c r="M2" s="77">
        <v>2.22</v>
      </c>
    </row>
    <row r="3">
      <c r="A3" s="272">
        <v>45972.0</v>
      </c>
      <c r="B3" s="273">
        <v>45966.0</v>
      </c>
      <c r="C3" s="114" t="s">
        <v>98</v>
      </c>
      <c r="D3" s="274" t="s">
        <v>99</v>
      </c>
      <c r="E3" s="275">
        <v>73.0</v>
      </c>
      <c r="F3" s="114">
        <v>17.0</v>
      </c>
      <c r="G3" s="276">
        <v>21.0</v>
      </c>
      <c r="H3" s="277">
        <v>40.0</v>
      </c>
      <c r="I3" s="278">
        <v>4.2</v>
      </c>
      <c r="J3" s="279">
        <f>E3+E4+H3+I3</f>
        <v>220.8</v>
      </c>
      <c r="K3" s="280">
        <v>2318.0</v>
      </c>
      <c r="L3" s="77" t="s">
        <v>100</v>
      </c>
      <c r="M3" s="281">
        <v>1.98</v>
      </c>
    </row>
    <row r="4">
      <c r="A4" s="282"/>
      <c r="B4" s="283">
        <v>45971.0</v>
      </c>
      <c r="C4" s="36" t="s">
        <v>101</v>
      </c>
      <c r="D4" s="36" t="s">
        <v>102</v>
      </c>
      <c r="E4" s="284">
        <v>103.6</v>
      </c>
      <c r="F4" s="36">
        <v>4.0</v>
      </c>
      <c r="G4" s="285"/>
      <c r="H4" s="285"/>
      <c r="I4" s="286"/>
      <c r="J4" s="287"/>
      <c r="K4" s="287"/>
    </row>
    <row r="5">
      <c r="A5" s="288">
        <v>46004.0</v>
      </c>
      <c r="B5" s="289">
        <v>45989.0</v>
      </c>
      <c r="C5" s="11" t="s">
        <v>103</v>
      </c>
      <c r="D5" s="11" t="s">
        <v>104</v>
      </c>
      <c r="E5" s="11">
        <v>111.51</v>
      </c>
      <c r="F5" s="11">
        <v>6.0</v>
      </c>
      <c r="G5" s="290">
        <f>F5+F6+F7+F8</f>
        <v>42</v>
      </c>
      <c r="H5" s="291">
        <v>30.0</v>
      </c>
      <c r="I5" s="292">
        <v>4.2</v>
      </c>
      <c r="J5" s="293">
        <f>E5+E6+E7+E8+H5+I5</f>
        <v>264.2</v>
      </c>
      <c r="K5" s="294">
        <v>2774.0</v>
      </c>
    </row>
    <row r="6">
      <c r="A6" s="295"/>
      <c r="B6" s="296">
        <v>45995.0</v>
      </c>
      <c r="C6" s="253" t="s">
        <v>105</v>
      </c>
      <c r="D6" s="253" t="s">
        <v>99</v>
      </c>
      <c r="E6" s="297">
        <v>55.0</v>
      </c>
      <c r="F6" s="253">
        <v>17.0</v>
      </c>
      <c r="G6" s="298"/>
      <c r="H6" s="298"/>
      <c r="I6" s="298"/>
      <c r="J6" s="299"/>
      <c r="K6" s="299"/>
    </row>
    <row r="7">
      <c r="A7" s="295"/>
      <c r="B7" s="296">
        <v>45996.0</v>
      </c>
      <c r="C7" s="253" t="s">
        <v>106</v>
      </c>
      <c r="D7" s="253" t="s">
        <v>99</v>
      </c>
      <c r="E7" s="253">
        <v>20.84</v>
      </c>
      <c r="F7" s="253">
        <v>4.0</v>
      </c>
      <c r="G7" s="298"/>
      <c r="H7" s="298"/>
      <c r="I7" s="298"/>
      <c r="J7" s="299"/>
      <c r="K7" s="299"/>
    </row>
    <row r="8">
      <c r="A8" s="282"/>
      <c r="B8" s="300">
        <v>45997.0</v>
      </c>
      <c r="C8" s="36" t="s">
        <v>107</v>
      </c>
      <c r="D8" s="36" t="s">
        <v>99</v>
      </c>
      <c r="E8" s="36">
        <v>42.65</v>
      </c>
      <c r="F8" s="36">
        <v>15.0</v>
      </c>
      <c r="G8" s="285"/>
      <c r="H8" s="285"/>
      <c r="I8" s="285"/>
      <c r="J8" s="287"/>
      <c r="K8" s="287"/>
    </row>
    <row r="9">
      <c r="A9" s="288">
        <v>46025.0</v>
      </c>
      <c r="B9" s="301">
        <v>45998.0</v>
      </c>
      <c r="C9" s="11" t="s">
        <v>108</v>
      </c>
      <c r="D9" s="11" t="s">
        <v>109</v>
      </c>
      <c r="E9" s="11">
        <v>10.5</v>
      </c>
      <c r="F9" s="11">
        <v>2.0</v>
      </c>
      <c r="G9" s="302">
        <f>F9+F10+F11+F12</f>
        <v>20</v>
      </c>
      <c r="H9" s="303">
        <v>30.0</v>
      </c>
      <c r="I9" s="304">
        <v>6.42</v>
      </c>
      <c r="J9" s="293">
        <f>E9+E10+E11+E12+H9+I9</f>
        <v>123.72</v>
      </c>
      <c r="K9" s="294">
        <v>1304.0</v>
      </c>
    </row>
    <row r="10">
      <c r="A10" s="295"/>
      <c r="B10" s="296">
        <v>45999.0</v>
      </c>
      <c r="C10" s="253" t="s">
        <v>110</v>
      </c>
      <c r="D10" s="253" t="s">
        <v>99</v>
      </c>
      <c r="E10" s="253">
        <v>14.95</v>
      </c>
      <c r="F10" s="253">
        <v>5.0</v>
      </c>
      <c r="G10" s="298"/>
      <c r="H10" s="298"/>
      <c r="I10" s="298"/>
      <c r="J10" s="299"/>
      <c r="K10" s="299"/>
    </row>
    <row r="11">
      <c r="A11" s="295"/>
      <c r="B11" s="296">
        <v>46009.0</v>
      </c>
      <c r="C11" s="253" t="s">
        <v>111</v>
      </c>
      <c r="D11" s="253" t="s">
        <v>99</v>
      </c>
      <c r="E11" s="253">
        <v>19.85</v>
      </c>
      <c r="F11" s="253">
        <v>5.0</v>
      </c>
      <c r="G11" s="298"/>
      <c r="H11" s="298"/>
      <c r="I11" s="298"/>
      <c r="J11" s="299"/>
      <c r="K11" s="299"/>
    </row>
    <row r="12">
      <c r="A12" s="282"/>
      <c r="B12" s="300">
        <v>46009.0</v>
      </c>
      <c r="C12" s="36" t="s">
        <v>112</v>
      </c>
      <c r="D12" s="36" t="s">
        <v>113</v>
      </c>
      <c r="E12" s="284">
        <v>42.0</v>
      </c>
      <c r="F12" s="36">
        <v>8.0</v>
      </c>
      <c r="G12" s="285"/>
      <c r="H12" s="285"/>
      <c r="I12" s="285"/>
      <c r="J12" s="287"/>
      <c r="K12" s="287"/>
    </row>
    <row r="13">
      <c r="A13" s="305"/>
      <c r="B13" s="306"/>
      <c r="D13" s="253"/>
      <c r="K13" s="307">
        <f>SUM(K3:K12)</f>
        <v>6396</v>
      </c>
    </row>
    <row r="14">
      <c r="A14" s="305"/>
    </row>
  </sheetData>
  <mergeCells count="18">
    <mergeCell ref="G5:G8"/>
    <mergeCell ref="H5:H8"/>
    <mergeCell ref="G9:G12"/>
    <mergeCell ref="H9:H12"/>
    <mergeCell ref="I5:I8"/>
    <mergeCell ref="J5:J8"/>
    <mergeCell ref="I9:I12"/>
    <mergeCell ref="J9:J12"/>
    <mergeCell ref="K9:K12"/>
    <mergeCell ref="A5:A8"/>
    <mergeCell ref="A9:A12"/>
    <mergeCell ref="A3:A4"/>
    <mergeCell ref="G3:G4"/>
    <mergeCell ref="H3:H4"/>
    <mergeCell ref="I3:I4"/>
    <mergeCell ref="J3:J4"/>
    <mergeCell ref="K3:K4"/>
    <mergeCell ref="K5:K8"/>
  </mergeCells>
  <conditionalFormatting sqref="D3:D13">
    <cfRule type="containsText" dxfId="6" priority="1" operator="containsText" text="ACTION">
      <formula>NOT(ISERROR(SEARCH(("ACTION"),(D3))))</formula>
    </cfRule>
  </conditionalFormatting>
  <drawing r:id="rId1"/>
</worksheet>
</file>